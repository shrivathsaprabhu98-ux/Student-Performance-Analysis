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044c300c19afe8e/Documents/"/>
    </mc:Choice>
  </mc:AlternateContent>
  <xr:revisionPtr revIDLastSave="863" documentId="13_ncr:1_{9ED5D69B-7B86-4441-8593-32CC23443D9F}" xr6:coauthVersionLast="47" xr6:coauthVersionMax="47" xr10:uidLastSave="{7197C1C7-A7B8-40C6-8328-3601534A075F}"/>
  <bookViews>
    <workbookView xWindow="-108" yWindow="-108" windowWidth="23256" windowHeight="12456" tabRatio="884" xr2:uid="{45F2EF41-DCCC-41AF-BAC2-A90508D60E03}"/>
  </bookViews>
  <sheets>
    <sheet name="Pivot_Stress" sheetId="5" r:id="rId1"/>
    <sheet name="Pivot_Self Study" sheetId="9" r:id="rId2"/>
    <sheet name="Pivot_Attendance" sheetId="14" r:id="rId3"/>
    <sheet name="Pivot_Health" sheetId="15" r:id="rId4"/>
    <sheet name="Pivot_Tution" sheetId="16" r:id="rId5"/>
    <sheet name="Pivot_DailyWork" sheetId="17" r:id="rId6"/>
    <sheet name="DashBoard" sheetId="18" r:id="rId7"/>
    <sheet name="Cleaned_Data" sheetId="3" r:id="rId8"/>
    <sheet name="Analysis" sheetId="4" r:id="rId9"/>
    <sheet name="Raw_Data(Original)" sheetId="1" r:id="rId10"/>
  </sheets>
  <calcPr calcId="191029"/>
  <pivotCaches>
    <pivotCache cacheId="0" r:id="rId11"/>
    <pivotCache cacheId="1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8" l="1"/>
  <c r="D14" i="18"/>
  <c r="A14" i="18"/>
  <c r="D10" i="18"/>
  <c r="A10" i="18"/>
  <c r="D6" i="18"/>
  <c r="A6" i="18"/>
  <c r="D27" i="3"/>
  <c r="D23" i="3"/>
  <c r="D22" i="3"/>
  <c r="D10" i="3"/>
  <c r="D26" i="3"/>
  <c r="D25" i="3"/>
  <c r="D24" i="3"/>
  <c r="D21" i="3"/>
  <c r="D20" i="3"/>
  <c r="D15" i="3"/>
  <c r="D9" i="3"/>
  <c r="D31" i="3"/>
  <c r="D30" i="3"/>
  <c r="D29" i="3"/>
  <c r="D28" i="3"/>
  <c r="D19" i="3"/>
  <c r="D18" i="3"/>
  <c r="D17" i="3"/>
  <c r="D16" i="3"/>
  <c r="D14" i="3"/>
  <c r="D13" i="3"/>
  <c r="D2" i="3"/>
  <c r="D12" i="3"/>
  <c r="D11" i="3"/>
  <c r="D8" i="3"/>
  <c r="D7" i="3"/>
  <c r="D6" i="3"/>
  <c r="D5" i="3"/>
  <c r="D4" i="3"/>
  <c r="D3" i="3"/>
  <c r="B7" i="4"/>
  <c r="B6" i="4"/>
  <c r="B5" i="4"/>
  <c r="B4" i="4"/>
  <c r="B3" i="4"/>
  <c r="B2" i="4"/>
  <c r="B1" i="4"/>
</calcChain>
</file>

<file path=xl/sharedStrings.xml><?xml version="1.0" encoding="utf-8"?>
<sst xmlns="http://schemas.openxmlformats.org/spreadsheetml/2006/main" count="370" uniqueCount="70">
  <si>
    <t>NAME</t>
  </si>
  <si>
    <t>AGE</t>
  </si>
  <si>
    <t>ATTENDANCE</t>
  </si>
  <si>
    <t>EXAM SCORE</t>
  </si>
  <si>
    <t>VIDEO GAMES</t>
  </si>
  <si>
    <t>TUTION</t>
  </si>
  <si>
    <t>HEALTH</t>
  </si>
  <si>
    <t>STRESS</t>
  </si>
  <si>
    <t>DAILY WORK</t>
  </si>
  <si>
    <t>SELF STUDY</t>
  </si>
  <si>
    <t>raju</t>
  </si>
  <si>
    <t>yes</t>
  </si>
  <si>
    <t>GOOD</t>
  </si>
  <si>
    <t>LOW</t>
  </si>
  <si>
    <t>SATISFACTORY</t>
  </si>
  <si>
    <t>bheem</t>
  </si>
  <si>
    <t>vignesh</t>
  </si>
  <si>
    <t>arun</t>
  </si>
  <si>
    <t>no</t>
  </si>
  <si>
    <t>BAD</t>
  </si>
  <si>
    <t>MODERATE</t>
  </si>
  <si>
    <t>BELOW AVERAGE</t>
  </si>
  <si>
    <t>ankush</t>
  </si>
  <si>
    <t>abirami</t>
  </si>
  <si>
    <t>arjun</t>
  </si>
  <si>
    <t>HIGH</t>
  </si>
  <si>
    <t>POOR</t>
  </si>
  <si>
    <t>sanjay</t>
  </si>
  <si>
    <t>santhosh</t>
  </si>
  <si>
    <t>saravana</t>
  </si>
  <si>
    <t>rithan</t>
  </si>
  <si>
    <t>gowsick</t>
  </si>
  <si>
    <t>manoj</t>
  </si>
  <si>
    <t>tharun</t>
  </si>
  <si>
    <t>dharani</t>
  </si>
  <si>
    <t>vasu</t>
  </si>
  <si>
    <t>gowtham</t>
  </si>
  <si>
    <t>priya</t>
  </si>
  <si>
    <t>kajol</t>
  </si>
  <si>
    <t>ramya</t>
  </si>
  <si>
    <t>keerthi</t>
  </si>
  <si>
    <t>lakshmi</t>
  </si>
  <si>
    <t>dharshini</t>
  </si>
  <si>
    <t>sasi</t>
  </si>
  <si>
    <t>sharmidha</t>
  </si>
  <si>
    <t>vasundhara</t>
  </si>
  <si>
    <t>varnika</t>
  </si>
  <si>
    <t>hansika</t>
  </si>
  <si>
    <t>rai lakshmi</t>
  </si>
  <si>
    <t>honey rose</t>
  </si>
  <si>
    <t>Total Students</t>
  </si>
  <si>
    <t>Average Age</t>
  </si>
  <si>
    <t>Average Attendance</t>
  </si>
  <si>
    <t>Average Exam Score</t>
  </si>
  <si>
    <t xml:space="preserve">Highest Exam Score </t>
  </si>
  <si>
    <t>Lowest Exam Score</t>
  </si>
  <si>
    <t>Row Labels</t>
  </si>
  <si>
    <t>Grand Total</t>
  </si>
  <si>
    <t>Average of EXAM SCORE</t>
  </si>
  <si>
    <t>Highest Exam Score</t>
  </si>
  <si>
    <t>Average Self Study</t>
  </si>
  <si>
    <t>ATTENDANCE GROUP</t>
  </si>
  <si>
    <t>Average (60 - 79%)</t>
  </si>
  <si>
    <t>Good (80 - 100%)</t>
  </si>
  <si>
    <t>Poor (&lt;60%)</t>
  </si>
  <si>
    <t>Student Performance Analysis Dashboard</t>
  </si>
  <si>
    <r>
      <t xml:space="preserve">Students with </t>
    </r>
    <r>
      <rPr>
        <b/>
        <sz val="11"/>
        <color theme="1"/>
        <rFont val="Calibri"/>
        <family val="2"/>
        <scheme val="minor"/>
      </rPr>
      <t xml:space="preserve">High Attendance </t>
    </r>
    <r>
      <rPr>
        <sz val="11"/>
        <color theme="1"/>
        <rFont val="Calibri"/>
        <family val="2"/>
        <scheme val="minor"/>
      </rPr>
      <t>scored high average marks then poor attendance</t>
    </r>
  </si>
  <si>
    <r>
      <t xml:space="preserve">More </t>
    </r>
    <r>
      <rPr>
        <b/>
        <sz val="11"/>
        <color theme="1"/>
        <rFont val="Calibri"/>
        <family val="2"/>
        <scheme val="minor"/>
      </rPr>
      <t xml:space="preserve">Self Study hours </t>
    </r>
    <r>
      <rPr>
        <sz val="11"/>
        <color theme="1"/>
        <rFont val="Calibri"/>
        <family val="2"/>
        <scheme val="minor"/>
      </rPr>
      <t>associated with better academic performance</t>
    </r>
  </si>
  <si>
    <r>
      <t xml:space="preserve">Students with </t>
    </r>
    <r>
      <rPr>
        <b/>
        <sz val="11"/>
        <color theme="1"/>
        <rFont val="Calibri"/>
        <family val="2"/>
        <scheme val="minor"/>
      </rPr>
      <t xml:space="preserve">Good Health </t>
    </r>
    <r>
      <rPr>
        <sz val="11"/>
        <color theme="1"/>
        <rFont val="Calibri"/>
        <family val="2"/>
        <scheme val="minor"/>
      </rPr>
      <t>achieved hig scores than the students with poor health</t>
    </r>
  </si>
  <si>
    <r>
      <t xml:space="preserve">Students with </t>
    </r>
    <r>
      <rPr>
        <b/>
        <sz val="11"/>
        <color theme="1"/>
        <rFont val="Calibri"/>
        <family val="2"/>
        <scheme val="minor"/>
      </rPr>
      <t>Low Stress</t>
    </r>
    <r>
      <rPr>
        <sz val="11"/>
        <color theme="1"/>
        <rFont val="Calibri"/>
        <family val="2"/>
        <scheme val="minor"/>
      </rPr>
      <t xml:space="preserve"> Level is achieving high average score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</si>
</sst>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0">
    <xf numFmtId="0" fontId="0" fillId="0" borderId="0" xfId="0"/>
    <xf numFmtId="0" fontId="16" fillId="0" borderId="0" xfId="0" applyFont="1"/>
    <xf numFmtId="0" fontId="16" fillId="0" borderId="10" xfId="0" applyFont="1" applyBorder="1"/>
    <xf numFmtId="164" fontId="16" fillId="0" borderId="10" xfId="0" applyNumberFormat="1" applyFont="1" applyBorder="1" applyAlignment="1">
      <alignment horizontal="center"/>
    </xf>
    <xf numFmtId="164" fontId="16" fillId="0" borderId="0" xfId="0" applyNumberFormat="1" applyFont="1" applyAlignment="1">
      <alignment horizontal="center"/>
    </xf>
    <xf numFmtId="0" fontId="0" fillId="0" borderId="10" xfId="0" applyBorder="1"/>
    <xf numFmtId="1" fontId="16" fillId="0" borderId="10" xfId="0" applyNumberFormat="1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18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0" fillId="0" borderId="11" xfId="0" applyBorder="1"/>
    <xf numFmtId="1" fontId="16" fillId="35" borderId="12" xfId="0" applyNumberFormat="1" applyFont="1" applyFill="1" applyBorder="1" applyAlignment="1">
      <alignment horizontal="center"/>
    </xf>
    <xf numFmtId="1" fontId="16" fillId="35" borderId="13" xfId="0" applyNumberFormat="1" applyFont="1" applyFill="1" applyBorder="1" applyAlignment="1">
      <alignment horizontal="center"/>
    </xf>
    <xf numFmtId="164" fontId="16" fillId="35" borderId="12" xfId="0" applyNumberFormat="1" applyFont="1" applyFill="1" applyBorder="1" applyAlignment="1">
      <alignment horizontal="center"/>
    </xf>
    <xf numFmtId="164" fontId="16" fillId="35" borderId="13" xfId="0" applyNumberFormat="1" applyFont="1" applyFill="1" applyBorder="1" applyAlignment="1">
      <alignment horizontal="center"/>
    </xf>
    <xf numFmtId="0" fontId="16" fillId="35" borderId="12" xfId="0" applyFont="1" applyFill="1" applyBorder="1" applyAlignment="1">
      <alignment horizontal="center"/>
    </xf>
    <xf numFmtId="0" fontId="16" fillId="35" borderId="13" xfId="0" applyFont="1" applyFill="1" applyBorder="1" applyAlignment="1">
      <alignment horizontal="center"/>
    </xf>
    <xf numFmtId="0" fontId="16" fillId="35" borderId="15" xfId="0" applyFont="1" applyFill="1" applyBorder="1" applyAlignment="1">
      <alignment horizontal="left" indent="4"/>
    </xf>
    <xf numFmtId="0" fontId="16" fillId="35" borderId="16" xfId="0" applyFont="1" applyFill="1" applyBorder="1" applyAlignment="1">
      <alignment horizontal="left" indent="4"/>
    </xf>
    <xf numFmtId="0" fontId="16" fillId="35" borderId="17" xfId="0" applyFont="1" applyFill="1" applyBorder="1" applyAlignment="1">
      <alignment horizontal="left" indent="4"/>
    </xf>
    <xf numFmtId="164" fontId="18" fillId="36" borderId="12" xfId="0" applyNumberFormat="1" applyFont="1" applyFill="1" applyBorder="1" applyAlignment="1">
      <alignment horizontal="center"/>
    </xf>
    <xf numFmtId="164" fontId="18" fillId="36" borderId="13" xfId="0" applyNumberFormat="1" applyFont="1" applyFill="1" applyBorder="1" applyAlignment="1">
      <alignment horizontal="center"/>
    </xf>
    <xf numFmtId="1" fontId="18" fillId="36" borderId="12" xfId="0" applyNumberFormat="1" applyFont="1" applyFill="1" applyBorder="1" applyAlignment="1">
      <alignment horizontal="center"/>
    </xf>
    <xf numFmtId="0" fontId="18" fillId="36" borderId="13" xfId="0" applyFont="1" applyFill="1" applyBorder="1" applyAlignment="1">
      <alignment horizontal="center"/>
    </xf>
    <xf numFmtId="0" fontId="18" fillId="36" borderId="12" xfId="0" applyFont="1" applyFill="1" applyBorder="1" applyAlignment="1">
      <alignment horizontal="center"/>
    </xf>
    <xf numFmtId="0" fontId="0" fillId="36" borderId="12" xfId="0" applyFill="1" applyBorder="1" applyAlignment="1">
      <alignment horizontal="center"/>
    </xf>
    <xf numFmtId="0" fontId="0" fillId="36" borderId="13" xfId="0" applyFill="1" applyBorder="1" applyAlignment="1">
      <alignment horizontal="center"/>
    </xf>
    <xf numFmtId="164" fontId="0" fillId="36" borderId="12" xfId="0" applyNumberFormat="1" applyFill="1" applyBorder="1" applyAlignment="1">
      <alignment horizontal="center"/>
    </xf>
    <xf numFmtId="164" fontId="0" fillId="36" borderId="13" xfId="0" applyNumberFormat="1" applyFill="1" applyBorder="1" applyAlignment="1">
      <alignment horizontal="center"/>
    </xf>
    <xf numFmtId="164" fontId="18" fillId="36" borderId="12" xfId="0" applyNumberFormat="1" applyFont="1" applyFill="1" applyBorder="1" applyAlignment="1">
      <alignment horizontal="center" vertical="center"/>
    </xf>
    <xf numFmtId="164" fontId="18" fillId="36" borderId="14" xfId="0" applyNumberFormat="1" applyFont="1" applyFill="1" applyBorder="1" applyAlignment="1">
      <alignment horizontal="center" vertical="center"/>
    </xf>
    <xf numFmtId="164" fontId="18" fillId="36" borderId="13" xfId="0" applyNumberFormat="1" applyFont="1" applyFill="1" applyBorder="1" applyAlignment="1">
      <alignment horizontal="center" vertical="center"/>
    </xf>
    <xf numFmtId="0" fontId="0" fillId="36" borderId="12" xfId="0" applyFill="1" applyBorder="1"/>
    <xf numFmtId="0" fontId="0" fillId="36" borderId="14" xfId="0" applyFill="1" applyBorder="1"/>
    <xf numFmtId="0" fontId="0" fillId="36" borderId="13" xfId="0" applyFill="1" applyBorder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Performance Analysis.xlsx]Pivot_Stress!PivotTable1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Average</a:t>
            </a:r>
            <a:r>
              <a:rPr lang="en-IN" b="1" baseline="0"/>
              <a:t> Exam Score By Stress Level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Pivot_Stress!$B$3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Pivot_Stress!$A$4:$A$7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MODERATE</c:v>
                </c:pt>
              </c:strCache>
            </c:strRef>
          </c:cat>
          <c:val>
            <c:numRef>
              <c:f>Pivot_Stress!$B$4:$B$7</c:f>
              <c:numCache>
                <c:formatCode>0.00</c:formatCode>
                <c:ptCount val="3"/>
                <c:pt idx="0">
                  <c:v>58.272727272727273</c:v>
                </c:pt>
                <c:pt idx="1">
                  <c:v>93.6875</c:v>
                </c:pt>
                <c:pt idx="2">
                  <c:v>75.666666666666671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91-44B2-8A6D-3E4358C3D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6675456"/>
        <c:axId val="70317632"/>
      </c:barChart>
      <c:catAx>
        <c:axId val="446675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Stress</a:t>
                </a:r>
                <a:r>
                  <a:rPr lang="en-IN" b="1" baseline="0"/>
                  <a:t> Level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17632"/>
        <c:crosses val="autoZero"/>
        <c:auto val="1"/>
        <c:lblAlgn val="ctr"/>
        <c:lblOffset val="100"/>
        <c:noMultiLvlLbl val="0"/>
      </c:catAx>
      <c:valAx>
        <c:axId val="7031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Average</a:t>
                </a:r>
                <a:r>
                  <a:rPr lang="en-IN" b="1" baseline="0"/>
                  <a:t> Exam Score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675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Performance Analysis.xlsx]Pivot_Self Study!PivotTable2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Average</a:t>
            </a:r>
            <a:r>
              <a:rPr lang="en-IN" b="1" baseline="0"/>
              <a:t> Exam Score by Self Study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'Pivot_Self Study'!$B$3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'Pivot_Self Study'!$A$4:$A$9</c:f>
              <c:strCache>
                <c:ptCount val="5"/>
                <c:pt idx="0">
                  <c:v>0</c:v>
                </c:pt>
                <c:pt idx="1">
                  <c:v>2</c:v>
                </c:pt>
                <c:pt idx="2">
                  <c:v>3.5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'Pivot_Self Study'!$B$4:$B$9</c:f>
              <c:numCache>
                <c:formatCode>0.0</c:formatCode>
                <c:ptCount val="5"/>
                <c:pt idx="0">
                  <c:v>58.272727272727273</c:v>
                </c:pt>
                <c:pt idx="1">
                  <c:v>75.666666666666671</c:v>
                </c:pt>
                <c:pt idx="2">
                  <c:v>82</c:v>
                </c:pt>
                <c:pt idx="3">
                  <c:v>89.4</c:v>
                </c:pt>
                <c:pt idx="4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94-4EBD-9058-36F6E32E9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7920255"/>
        <c:axId val="1227406015"/>
      </c:barChart>
      <c:catAx>
        <c:axId val="12979202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Self</a:t>
                </a:r>
                <a:r>
                  <a:rPr lang="en-IN" b="1" baseline="0"/>
                  <a:t> Study Hours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406015"/>
        <c:crosses val="autoZero"/>
        <c:auto val="1"/>
        <c:lblAlgn val="ctr"/>
        <c:lblOffset val="100"/>
        <c:noMultiLvlLbl val="0"/>
      </c:catAx>
      <c:valAx>
        <c:axId val="122740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Average</a:t>
                </a:r>
                <a:r>
                  <a:rPr lang="en-IN" b="1" baseline="0"/>
                  <a:t> Exam Score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920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Performance Analysis.xlsx]Pivot_Attendance!PivotTable7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Average</a:t>
            </a:r>
            <a:r>
              <a:rPr lang="en-IN" b="1" baseline="0"/>
              <a:t> Exam Score by Attendance Group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Pivot_Attendance!$B$3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Pivot_Attendance!$A$4:$A$7</c:f>
              <c:strCache>
                <c:ptCount val="3"/>
                <c:pt idx="0">
                  <c:v>Poor (&lt;60%)</c:v>
                </c:pt>
                <c:pt idx="1">
                  <c:v>Average (60 - 79%)</c:v>
                </c:pt>
                <c:pt idx="2">
                  <c:v>Good (80 - 100%)</c:v>
                </c:pt>
              </c:strCache>
            </c:strRef>
          </c:cat>
          <c:val>
            <c:numRef>
              <c:f>Pivot_Attendance!$B$4:$B$7</c:f>
              <c:numCache>
                <c:formatCode>0.0</c:formatCode>
                <c:ptCount val="3"/>
                <c:pt idx="0">
                  <c:v>55</c:v>
                </c:pt>
                <c:pt idx="1">
                  <c:v>72.875</c:v>
                </c:pt>
                <c:pt idx="2">
                  <c:v>90.875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FA-4620-A14F-CB58A9BA5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5658703"/>
        <c:axId val="1360819711"/>
      </c:barChart>
      <c:catAx>
        <c:axId val="1355658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Attendance</a:t>
                </a:r>
                <a:r>
                  <a:rPr lang="en-IN" b="1" baseline="0"/>
                  <a:t> Group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819711"/>
        <c:crosses val="autoZero"/>
        <c:auto val="1"/>
        <c:lblAlgn val="ctr"/>
        <c:lblOffset val="100"/>
        <c:noMultiLvlLbl val="0"/>
      </c:catAx>
      <c:valAx>
        <c:axId val="136081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Average</a:t>
                </a:r>
                <a:r>
                  <a:rPr lang="en-IN" b="1" baseline="0"/>
                  <a:t> Exam Score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658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Performance Analysis.xlsx]Pivot_Health!PivotTable8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</a:t>
            </a:r>
            <a:r>
              <a:rPr lang="en-US" b="1" baseline="0"/>
              <a:t> Exam Score by Health Status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Pivot_Health!$B$3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Pivot_Health!$A$4:$A$6</c:f>
              <c:strCache>
                <c:ptCount val="2"/>
                <c:pt idx="0">
                  <c:v>BAD</c:v>
                </c:pt>
                <c:pt idx="1">
                  <c:v>GOOD</c:v>
                </c:pt>
              </c:strCache>
            </c:strRef>
          </c:cat>
          <c:val>
            <c:numRef>
              <c:f>Pivot_Health!$B$4:$B$6</c:f>
              <c:numCache>
                <c:formatCode>0.0</c:formatCode>
                <c:ptCount val="2"/>
                <c:pt idx="0">
                  <c:v>65.15384615384616</c:v>
                </c:pt>
                <c:pt idx="1">
                  <c:v>89.411764705882348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6C-47EB-BF8F-76E9A2970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4041263"/>
        <c:axId val="1360820671"/>
      </c:barChart>
      <c:catAx>
        <c:axId val="14140412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Health</a:t>
                </a:r>
                <a:r>
                  <a:rPr lang="en-IN" b="1" baseline="0"/>
                  <a:t> Status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820671"/>
        <c:crosses val="autoZero"/>
        <c:auto val="1"/>
        <c:lblAlgn val="ctr"/>
        <c:lblOffset val="100"/>
        <c:noMultiLvlLbl val="0"/>
      </c:catAx>
      <c:valAx>
        <c:axId val="136082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Average</a:t>
                </a:r>
                <a:r>
                  <a:rPr lang="en-IN" b="1" baseline="0"/>
                  <a:t> Exam Score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041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Performance Analysis.xlsx]Pivot_Tution!PivotTable9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</a:t>
            </a:r>
            <a:r>
              <a:rPr lang="en-US" b="1" baseline="0"/>
              <a:t> Exam Score by Tution Status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Pivot_Tution!$B$3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Pivot_Tution!$A$4:$A$6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Pivot_Tution!$B$4:$B$6</c:f>
              <c:numCache>
                <c:formatCode>0.0</c:formatCode>
                <c:ptCount val="2"/>
                <c:pt idx="0">
                  <c:v>87.611111111111114</c:v>
                </c:pt>
                <c:pt idx="1">
                  <c:v>65.833333333333329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12-44A9-9F9A-823FB8695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2287663"/>
        <c:axId val="1483500767"/>
      </c:barChart>
      <c:catAx>
        <c:axId val="1452287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Tution</a:t>
                </a:r>
                <a:r>
                  <a:rPr lang="en-IN" b="1" baseline="0"/>
                  <a:t> Status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500767"/>
        <c:crosses val="autoZero"/>
        <c:auto val="1"/>
        <c:lblAlgn val="ctr"/>
        <c:lblOffset val="100"/>
        <c:noMultiLvlLbl val="0"/>
      </c:catAx>
      <c:valAx>
        <c:axId val="148350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Average</a:t>
                </a:r>
                <a:r>
                  <a:rPr lang="en-IN" b="1" baseline="0"/>
                  <a:t> Exam Score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287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Performance Analysis.xlsx]Pivot_DailyWork!PivotTable10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Average</a:t>
            </a:r>
            <a:r>
              <a:rPr lang="en-IN" b="1" baseline="0"/>
              <a:t> Exam Score by Daily Work Status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Pivot_DailyWork!$B$3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Pivot_DailyWork!$A$4:$A$7</c:f>
              <c:strCache>
                <c:ptCount val="3"/>
                <c:pt idx="0">
                  <c:v>POOR</c:v>
                </c:pt>
                <c:pt idx="1">
                  <c:v>BELOW AVERAGE</c:v>
                </c:pt>
                <c:pt idx="2">
                  <c:v>SATISFACTORY</c:v>
                </c:pt>
              </c:strCache>
            </c:strRef>
          </c:cat>
          <c:val>
            <c:numRef>
              <c:f>Pivot_DailyWork!$B$4:$B$7</c:f>
              <c:numCache>
                <c:formatCode>0.0</c:formatCode>
                <c:ptCount val="3"/>
                <c:pt idx="0">
                  <c:v>58.272727272727273</c:v>
                </c:pt>
                <c:pt idx="1">
                  <c:v>75.666666666666671</c:v>
                </c:pt>
                <c:pt idx="2">
                  <c:v>93.6875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DA-45F5-A3A1-06EC07A08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4979935"/>
        <c:axId val="823679039"/>
      </c:barChart>
      <c:catAx>
        <c:axId val="1454979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Daily</a:t>
                </a:r>
                <a:r>
                  <a:rPr lang="en-IN" b="1" baseline="0"/>
                  <a:t> Work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679039"/>
        <c:crosses val="autoZero"/>
        <c:auto val="1"/>
        <c:lblAlgn val="ctr"/>
        <c:lblOffset val="100"/>
        <c:noMultiLvlLbl val="0"/>
      </c:catAx>
      <c:valAx>
        <c:axId val="82367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Average</a:t>
                </a:r>
                <a:r>
                  <a:rPr lang="en-IN" b="1" baseline="0"/>
                  <a:t> Exam Score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979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Performance Analysis.xlsx]Pivot_Stress!PivotTable1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Average</a:t>
            </a:r>
            <a:r>
              <a:rPr lang="en-IN" b="1" baseline="0"/>
              <a:t> Exam Score By Stress Level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Pivot_Stress!$B$3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Pivot_Stress!$A$4:$A$7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MODERATE</c:v>
                </c:pt>
              </c:strCache>
            </c:strRef>
          </c:cat>
          <c:val>
            <c:numRef>
              <c:f>Pivot_Stress!$B$4:$B$7</c:f>
              <c:numCache>
                <c:formatCode>0.00</c:formatCode>
                <c:ptCount val="3"/>
                <c:pt idx="0">
                  <c:v>58.272727272727273</c:v>
                </c:pt>
                <c:pt idx="1">
                  <c:v>93.6875</c:v>
                </c:pt>
                <c:pt idx="2">
                  <c:v>75.666666666666671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CF-4A23-A477-AF258C3B8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6675456"/>
        <c:axId val="70317632"/>
      </c:barChart>
      <c:catAx>
        <c:axId val="446675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Stress</a:t>
                </a:r>
                <a:r>
                  <a:rPr lang="en-IN" b="1" baseline="0"/>
                  <a:t> Level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17632"/>
        <c:crosses val="autoZero"/>
        <c:auto val="1"/>
        <c:lblAlgn val="ctr"/>
        <c:lblOffset val="100"/>
        <c:noMultiLvlLbl val="0"/>
      </c:catAx>
      <c:valAx>
        <c:axId val="7031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Average</a:t>
                </a:r>
                <a:r>
                  <a:rPr lang="en-IN" b="1" baseline="0"/>
                  <a:t> Exam Score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675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Performance Analysis.xlsx]Pivot_Self Study!PivotTable2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Average</a:t>
            </a:r>
            <a:r>
              <a:rPr lang="en-IN" b="1" baseline="0"/>
              <a:t> Exam Score by Self Study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'Pivot_Self Study'!$B$3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'Pivot_Self Study'!$A$4:$A$9</c:f>
              <c:strCache>
                <c:ptCount val="5"/>
                <c:pt idx="0">
                  <c:v>0</c:v>
                </c:pt>
                <c:pt idx="1">
                  <c:v>2</c:v>
                </c:pt>
                <c:pt idx="2">
                  <c:v>3.5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'Pivot_Self Study'!$B$4:$B$9</c:f>
              <c:numCache>
                <c:formatCode>0.0</c:formatCode>
                <c:ptCount val="5"/>
                <c:pt idx="0">
                  <c:v>58.272727272727273</c:v>
                </c:pt>
                <c:pt idx="1">
                  <c:v>75.666666666666671</c:v>
                </c:pt>
                <c:pt idx="2">
                  <c:v>82</c:v>
                </c:pt>
                <c:pt idx="3">
                  <c:v>89.4</c:v>
                </c:pt>
                <c:pt idx="4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74-41B0-A893-192487FB60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7920255"/>
        <c:axId val="1227406015"/>
      </c:barChart>
      <c:catAx>
        <c:axId val="12979202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Self</a:t>
                </a:r>
                <a:r>
                  <a:rPr lang="en-IN" b="1" baseline="0"/>
                  <a:t> Study Hours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406015"/>
        <c:crosses val="autoZero"/>
        <c:auto val="1"/>
        <c:lblAlgn val="ctr"/>
        <c:lblOffset val="100"/>
        <c:noMultiLvlLbl val="0"/>
      </c:catAx>
      <c:valAx>
        <c:axId val="122740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Average</a:t>
                </a:r>
                <a:r>
                  <a:rPr lang="en-IN" b="1" baseline="0"/>
                  <a:t> Exam Score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920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Performance Analysis.xlsx]Pivot_Attendance!PivotTable7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Average</a:t>
            </a:r>
            <a:r>
              <a:rPr lang="en-IN" b="1" baseline="0"/>
              <a:t> Exam Score by Attendance Group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Pivot_Attendance!$B$3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Pivot_Attendance!$A$4:$A$7</c:f>
              <c:strCache>
                <c:ptCount val="3"/>
                <c:pt idx="0">
                  <c:v>Poor (&lt;60%)</c:v>
                </c:pt>
                <c:pt idx="1">
                  <c:v>Average (60 - 79%)</c:v>
                </c:pt>
                <c:pt idx="2">
                  <c:v>Good (80 - 100%)</c:v>
                </c:pt>
              </c:strCache>
            </c:strRef>
          </c:cat>
          <c:val>
            <c:numRef>
              <c:f>Pivot_Attendance!$B$4:$B$7</c:f>
              <c:numCache>
                <c:formatCode>0.0</c:formatCode>
                <c:ptCount val="3"/>
                <c:pt idx="0">
                  <c:v>55</c:v>
                </c:pt>
                <c:pt idx="1">
                  <c:v>72.875</c:v>
                </c:pt>
                <c:pt idx="2">
                  <c:v>90.875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E-4A98-828E-FB7F98D33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5658703"/>
        <c:axId val="1360819711"/>
      </c:barChart>
      <c:catAx>
        <c:axId val="1355658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Attendance</a:t>
                </a:r>
                <a:r>
                  <a:rPr lang="en-IN" b="1" baseline="0"/>
                  <a:t> Group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819711"/>
        <c:crosses val="autoZero"/>
        <c:auto val="1"/>
        <c:lblAlgn val="ctr"/>
        <c:lblOffset val="100"/>
        <c:noMultiLvlLbl val="0"/>
      </c:catAx>
      <c:valAx>
        <c:axId val="136081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Average</a:t>
                </a:r>
                <a:r>
                  <a:rPr lang="en-IN" b="1" baseline="0"/>
                  <a:t> Exam Score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658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Performance Analysis.xlsx]Pivot_Health!PivotTable8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</a:t>
            </a:r>
            <a:r>
              <a:rPr lang="en-US" b="1" baseline="0"/>
              <a:t> Exam Score by Health Status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Pivot_Health!$B$3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Pivot_Health!$A$4:$A$6</c:f>
              <c:strCache>
                <c:ptCount val="2"/>
                <c:pt idx="0">
                  <c:v>BAD</c:v>
                </c:pt>
                <c:pt idx="1">
                  <c:v>GOOD</c:v>
                </c:pt>
              </c:strCache>
            </c:strRef>
          </c:cat>
          <c:val>
            <c:numRef>
              <c:f>Pivot_Health!$B$4:$B$6</c:f>
              <c:numCache>
                <c:formatCode>0.0</c:formatCode>
                <c:ptCount val="2"/>
                <c:pt idx="0">
                  <c:v>65.15384615384616</c:v>
                </c:pt>
                <c:pt idx="1">
                  <c:v>89.411764705882348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5F-4748-B66B-2F13164F9A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4041263"/>
        <c:axId val="1360820671"/>
      </c:barChart>
      <c:catAx>
        <c:axId val="14140412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Health</a:t>
                </a:r>
                <a:r>
                  <a:rPr lang="en-IN" b="1" baseline="0"/>
                  <a:t> Status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820671"/>
        <c:crosses val="autoZero"/>
        <c:auto val="1"/>
        <c:lblAlgn val="ctr"/>
        <c:lblOffset val="100"/>
        <c:noMultiLvlLbl val="0"/>
      </c:catAx>
      <c:valAx>
        <c:axId val="136082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Average</a:t>
                </a:r>
                <a:r>
                  <a:rPr lang="en-IN" b="1" baseline="0"/>
                  <a:t> Exam Score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041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171450</xdr:rowOff>
    </xdr:from>
    <xdr:to>
      <xdr:col>11</xdr:col>
      <xdr:colOff>7620</xdr:colOff>
      <xdr:row>17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3EEBCC-A375-AE1D-E68D-CCEF79A4B9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156210</xdr:rowOff>
    </xdr:from>
    <xdr:to>
      <xdr:col>12</xdr:col>
      <xdr:colOff>22860</xdr:colOff>
      <xdr:row>20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6C15E4-B115-8868-FBAD-56D87B999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3</xdr:row>
      <xdr:rowOff>0</xdr:rowOff>
    </xdr:from>
    <xdr:to>
      <xdr:col>11</xdr:col>
      <xdr:colOff>15240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CCCC0E-A8FD-AA6E-FF10-B9160E28B4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2</xdr:row>
      <xdr:rowOff>163830</xdr:rowOff>
    </xdr:from>
    <xdr:to>
      <xdr:col>12</xdr:col>
      <xdr:colOff>0</xdr:colOff>
      <xdr:row>20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DC46C3-CC84-9178-D419-A5B9F95C28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3</xdr:row>
      <xdr:rowOff>0</xdr:rowOff>
    </xdr:from>
    <xdr:to>
      <xdr:col>11</xdr:col>
      <xdr:colOff>7620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99240F-A58D-3939-FB13-50560D108A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1</xdr:row>
      <xdr:rowOff>15240</xdr:rowOff>
    </xdr:from>
    <xdr:to>
      <xdr:col>11</xdr:col>
      <xdr:colOff>601980</xdr:colOff>
      <xdr:row>19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5B2C50-40E8-F26A-A7AD-A8959DC491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26377</xdr:colOff>
      <xdr:row>20</xdr:row>
      <xdr:rowOff>128954</xdr:rowOff>
    </xdr:from>
    <xdr:to>
      <xdr:col>8</xdr:col>
      <xdr:colOff>26377</xdr:colOff>
      <xdr:row>35</xdr:row>
      <xdr:rowOff>163244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809CD2-9F82-4848-A193-74448D89BC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32238</xdr:colOff>
      <xdr:row>38</xdr:row>
      <xdr:rowOff>46892</xdr:rowOff>
    </xdr:from>
    <xdr:to>
      <xdr:col>8</xdr:col>
      <xdr:colOff>32238</xdr:colOff>
      <xdr:row>53</xdr:row>
      <xdr:rowOff>84992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7D6EC8-05EB-4B0B-BC56-D45BF84DF5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22860</xdr:colOff>
      <xdr:row>20</xdr:row>
      <xdr:rowOff>103163</xdr:rowOff>
    </xdr:from>
    <xdr:to>
      <xdr:col>18</xdr:col>
      <xdr:colOff>22860</xdr:colOff>
      <xdr:row>35</xdr:row>
      <xdr:rowOff>140091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20C711-A9DA-4B0C-8D61-DBFFBC0617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16999</xdr:colOff>
      <xdr:row>38</xdr:row>
      <xdr:rowOff>73855</xdr:rowOff>
    </xdr:from>
    <xdr:to>
      <xdr:col>18</xdr:col>
      <xdr:colOff>16999</xdr:colOff>
      <xdr:row>53</xdr:row>
      <xdr:rowOff>95543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66467A5-C075-479B-8283-5F4992E53A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ivathsa Prabhu" refreshedDate="46208.70496354167" createdVersion="8" refreshedVersion="8" minRefreshableVersion="3" recordCount="31" xr:uid="{D3071FFE-AC5B-4AAE-A6E8-9DF852B1A014}">
  <cacheSource type="worksheet">
    <worksheetSource ref="A1:K1048576" sheet="Cleaned_Data"/>
  </cacheSource>
  <cacheFields count="10">
    <cacheField name="NAME" numFmtId="0">
      <sharedItems containsBlank="1"/>
    </cacheField>
    <cacheField name="AGE" numFmtId="0">
      <sharedItems containsString="0" containsBlank="1" containsNumber="1" containsInteger="1" minValue="17" maxValue="22"/>
    </cacheField>
    <cacheField name="ATTENDANCE" numFmtId="0">
      <sharedItems containsString="0" containsBlank="1" containsNumber="1" containsInteger="1" minValue="18" maxValue="100" count="22">
        <n v="100"/>
        <n v="90"/>
        <n v="80"/>
        <n v="75"/>
        <n v="60"/>
        <n v="50"/>
        <n v="85"/>
        <n v="74"/>
        <n v="86"/>
        <n v="96"/>
        <n v="94"/>
        <n v="66"/>
        <n v="64"/>
        <n v="52"/>
        <n v="18"/>
        <n v="78"/>
        <n v="73"/>
        <n v="58"/>
        <n v="97"/>
        <n v="98"/>
        <n v="99"/>
        <m/>
      </sharedItems>
    </cacheField>
    <cacheField name="EXAM SCORE" numFmtId="0">
      <sharedItems containsString="0" containsBlank="1" containsNumber="1" containsInteger="1" minValue="40" maxValue="100"/>
    </cacheField>
    <cacheField name="VIDEO GAMES" numFmtId="0">
      <sharedItems containsString="0" containsBlank="1" containsNumber="1" minValue="0" maxValue="3.5"/>
    </cacheField>
    <cacheField name="TUTION" numFmtId="0">
      <sharedItems containsBlank="1"/>
    </cacheField>
    <cacheField name="HEALTH" numFmtId="0">
      <sharedItems containsBlank="1"/>
    </cacheField>
    <cacheField name="STRESS" numFmtId="0">
      <sharedItems containsBlank="1" count="4">
        <s v="LOW"/>
        <s v="MODERATE"/>
        <s v="HIGH"/>
        <m/>
      </sharedItems>
    </cacheField>
    <cacheField name="DAILY WORK" numFmtId="0">
      <sharedItems containsBlank="1"/>
    </cacheField>
    <cacheField name="SELF STUDY" numFmtId="0">
      <sharedItems containsString="0" containsBlank="1" containsNumber="1" minValue="0" maxValue="5" count="6">
        <n v="4"/>
        <n v="5"/>
        <n v="2"/>
        <n v="0"/>
        <n v="3.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ivathsa Prabhu" refreshedDate="46208.909510300924" createdVersion="8" refreshedVersion="8" minRefreshableVersion="3" recordCount="30" xr:uid="{CC086455-5601-4599-98DD-434AEA9E40FA}">
  <cacheSource type="worksheet">
    <worksheetSource ref="A1:K31" sheet="Cleaned_Data"/>
  </cacheSource>
  <cacheFields count="11">
    <cacheField name="NAME" numFmtId="0">
      <sharedItems/>
    </cacheField>
    <cacheField name="AGE" numFmtId="0">
      <sharedItems containsSemiMixedTypes="0" containsString="0" containsNumber="1" containsInteger="1" minValue="17" maxValue="22"/>
    </cacheField>
    <cacheField name="ATTENDANCE" numFmtId="0">
      <sharedItems containsSemiMixedTypes="0" containsString="0" containsNumber="1" containsInteger="1" minValue="18" maxValue="100"/>
    </cacheField>
    <cacheField name="ATTENDANCE GROUP" numFmtId="0">
      <sharedItems count="3">
        <s v="Good (80 - 100%)"/>
        <s v="Average (60 - 79%)"/>
        <s v="Poor (&lt;60%)"/>
      </sharedItems>
    </cacheField>
    <cacheField name="EXAM SCORE" numFmtId="0">
      <sharedItems containsSemiMixedTypes="0" containsString="0" containsNumber="1" containsInteger="1" minValue="40" maxValue="100"/>
    </cacheField>
    <cacheField name="VIDEO GAMES" numFmtId="0">
      <sharedItems containsSemiMixedTypes="0" containsString="0" containsNumber="1" minValue="0" maxValue="3.5"/>
    </cacheField>
    <cacheField name="TUTION" numFmtId="0">
      <sharedItems count="2">
        <s v="yes"/>
        <s v="no"/>
      </sharedItems>
    </cacheField>
    <cacheField name="HEALTH" numFmtId="0">
      <sharedItems count="2">
        <s v="GOOD"/>
        <s v="BAD"/>
      </sharedItems>
    </cacheField>
    <cacheField name="STRESS" numFmtId="0">
      <sharedItems/>
    </cacheField>
    <cacheField name="DAILY WORK" numFmtId="0">
      <sharedItems count="3">
        <s v="SATISFACTORY"/>
        <s v="BELOW AVERAGE"/>
        <s v="POOR"/>
      </sharedItems>
    </cacheField>
    <cacheField name="SELF STUDY" numFmtId="0">
      <sharedItems containsSemiMixedTypes="0" containsString="0" containsNumber="1" minValue="0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s v="raju"/>
    <n v="18"/>
    <x v="0"/>
    <n v="89"/>
    <n v="0.5"/>
    <s v="yes"/>
    <s v="GOOD"/>
    <x v="0"/>
    <s v="SATISFACTORY"/>
    <x v="0"/>
  </r>
  <r>
    <s v="bheem"/>
    <n v="19"/>
    <x v="1"/>
    <n v="95"/>
    <n v="0.5"/>
    <s v="yes"/>
    <s v="GOOD"/>
    <x v="0"/>
    <s v="SATISFACTORY"/>
    <x v="1"/>
  </r>
  <r>
    <s v="vignesh"/>
    <n v="22"/>
    <x v="1"/>
    <n v="96"/>
    <n v="0.5"/>
    <s v="yes"/>
    <s v="GOOD"/>
    <x v="0"/>
    <s v="SATISFACTORY"/>
    <x v="1"/>
  </r>
  <r>
    <s v="arun"/>
    <n v="18"/>
    <x v="2"/>
    <n v="73"/>
    <n v="2"/>
    <s v="no"/>
    <s v="BAD"/>
    <x v="1"/>
    <s v="BELOW AVERAGE"/>
    <x v="2"/>
  </r>
  <r>
    <s v="ankush"/>
    <n v="20"/>
    <x v="0"/>
    <n v="97"/>
    <n v="0.5"/>
    <s v="yes"/>
    <s v="GOOD"/>
    <x v="0"/>
    <s v="SATISFACTORY"/>
    <x v="1"/>
  </r>
  <r>
    <s v="abirami"/>
    <n v="20"/>
    <x v="2"/>
    <n v="79"/>
    <n v="1"/>
    <s v="no"/>
    <s v="GOOD"/>
    <x v="1"/>
    <s v="BELOW AVERAGE"/>
    <x v="2"/>
  </r>
  <r>
    <s v="arjun"/>
    <n v="21"/>
    <x v="3"/>
    <n v="64"/>
    <n v="2"/>
    <s v="yes"/>
    <s v="BAD"/>
    <x v="2"/>
    <s v="POOR"/>
    <x v="3"/>
  </r>
  <r>
    <s v="sanjay"/>
    <n v="21"/>
    <x v="4"/>
    <n v="56"/>
    <n v="3"/>
    <s v="no"/>
    <s v="BAD"/>
    <x v="2"/>
    <s v="POOR"/>
    <x v="3"/>
  </r>
  <r>
    <s v="santhosh"/>
    <n v="20"/>
    <x v="5"/>
    <n v="52"/>
    <n v="3"/>
    <s v="no"/>
    <s v="BAD"/>
    <x v="2"/>
    <s v="POOR"/>
    <x v="3"/>
  </r>
  <r>
    <s v="saravana"/>
    <n v="20"/>
    <x v="5"/>
    <n v="54"/>
    <n v="3"/>
    <s v="no"/>
    <s v="BAD"/>
    <x v="2"/>
    <s v="POOR"/>
    <x v="3"/>
  </r>
  <r>
    <s v="rithan"/>
    <n v="17"/>
    <x v="5"/>
    <n v="55"/>
    <n v="3"/>
    <s v="no"/>
    <s v="BAD"/>
    <x v="2"/>
    <s v="POOR"/>
    <x v="3"/>
  </r>
  <r>
    <s v="gowsick"/>
    <n v="18"/>
    <x v="0"/>
    <n v="98"/>
    <n v="0.2"/>
    <s v="yes"/>
    <s v="GOOD"/>
    <x v="0"/>
    <s v="SATISFACTORY"/>
    <x v="1"/>
  </r>
  <r>
    <s v="manoj"/>
    <n v="20"/>
    <x v="6"/>
    <n v="95"/>
    <n v="0.5"/>
    <s v="yes"/>
    <s v="GOOD"/>
    <x v="0"/>
    <s v="SATISFACTORY"/>
    <x v="1"/>
  </r>
  <r>
    <s v="tharun"/>
    <n v="21"/>
    <x v="7"/>
    <n v="82"/>
    <n v="1"/>
    <s v="yes"/>
    <s v="GOOD"/>
    <x v="0"/>
    <s v="SATISFACTORY"/>
    <x v="4"/>
  </r>
  <r>
    <s v="dharani"/>
    <n v="18"/>
    <x v="8"/>
    <n v="90"/>
    <n v="0.8"/>
    <s v="yes"/>
    <s v="GOOD"/>
    <x v="0"/>
    <s v="SATISFACTORY"/>
    <x v="0"/>
  </r>
  <r>
    <s v="vasu"/>
    <n v="19"/>
    <x v="0"/>
    <n v="60"/>
    <n v="2.5"/>
    <s v="no"/>
    <s v="BAD"/>
    <x v="2"/>
    <s v="POOR"/>
    <x v="3"/>
  </r>
  <r>
    <s v="gowtham"/>
    <n v="19"/>
    <x v="9"/>
    <n v="95"/>
    <n v="0.5"/>
    <s v="yes"/>
    <s v="GOOD"/>
    <x v="0"/>
    <s v="SATISFACTORY"/>
    <x v="1"/>
  </r>
  <r>
    <s v="priya"/>
    <n v="20"/>
    <x v="10"/>
    <n v="93"/>
    <n v="0.5"/>
    <s v="yes"/>
    <s v="GOOD"/>
    <x v="0"/>
    <s v="SATISFACTORY"/>
    <x v="0"/>
  </r>
  <r>
    <s v="kajol"/>
    <n v="21"/>
    <x v="11"/>
    <n v="87"/>
    <n v="1"/>
    <s v="yes"/>
    <s v="GOOD"/>
    <x v="0"/>
    <s v="SATISFACTORY"/>
    <x v="0"/>
  </r>
  <r>
    <s v="ramya"/>
    <n v="21"/>
    <x v="12"/>
    <n v="75"/>
    <n v="2"/>
    <s v="no"/>
    <s v="BAD"/>
    <x v="1"/>
    <s v="BELOW AVERAGE"/>
    <x v="2"/>
  </r>
  <r>
    <s v="keerthi"/>
    <n v="19"/>
    <x v="13"/>
    <n v="79"/>
    <n v="3.5"/>
    <s v="no"/>
    <s v="BAD"/>
    <x v="2"/>
    <s v="POOR"/>
    <x v="3"/>
  </r>
  <r>
    <s v="lakshmi"/>
    <n v="18"/>
    <x v="14"/>
    <n v="40"/>
    <n v="2"/>
    <s v="no"/>
    <s v="BAD"/>
    <x v="2"/>
    <s v="POOR"/>
    <x v="3"/>
  </r>
  <r>
    <s v="dharshini"/>
    <n v="19"/>
    <x v="15"/>
    <n v="79"/>
    <n v="1"/>
    <s v="no"/>
    <s v="GOOD"/>
    <x v="2"/>
    <s v="POOR"/>
    <x v="3"/>
  </r>
  <r>
    <s v="sasi"/>
    <n v="19"/>
    <x v="16"/>
    <n v="88"/>
    <n v="3"/>
    <s v="no"/>
    <s v="BAD"/>
    <x v="0"/>
    <s v="SATISFACTORY"/>
    <x v="0"/>
  </r>
  <r>
    <s v="sharmidha"/>
    <n v="20"/>
    <x v="12"/>
    <n v="52"/>
    <n v="3"/>
    <s v="yes"/>
    <s v="BAD"/>
    <x v="2"/>
    <s v="POOR"/>
    <x v="3"/>
  </r>
  <r>
    <s v="vasundhara"/>
    <n v="21"/>
    <x v="17"/>
    <n v="50"/>
    <n v="0.2"/>
    <s v="yes"/>
    <s v="GOOD"/>
    <x v="2"/>
    <s v="POOR"/>
    <x v="3"/>
  </r>
  <r>
    <s v="varnika"/>
    <n v="22"/>
    <x v="18"/>
    <n v="97"/>
    <n v="0.2"/>
    <s v="yes"/>
    <s v="GOOD"/>
    <x v="0"/>
    <s v="SATISFACTORY"/>
    <x v="1"/>
  </r>
  <r>
    <s v="hansika"/>
    <n v="22"/>
    <x v="19"/>
    <n v="98"/>
    <n v="0.2"/>
    <s v="yes"/>
    <s v="GOOD"/>
    <x v="0"/>
    <s v="SATISFACTORY"/>
    <x v="1"/>
  </r>
  <r>
    <s v="rai lakshmi"/>
    <n v="21"/>
    <x v="20"/>
    <n v="99"/>
    <n v="1.4"/>
    <s v="yes"/>
    <s v="BAD"/>
    <x v="0"/>
    <s v="SATISFACTORY"/>
    <x v="1"/>
  </r>
  <r>
    <s v="honey rose"/>
    <n v="19"/>
    <x v="0"/>
    <n v="100"/>
    <n v="0"/>
    <s v="yes"/>
    <s v="GOOD"/>
    <x v="0"/>
    <s v="SATISFACTORY"/>
    <x v="1"/>
  </r>
  <r>
    <m/>
    <m/>
    <x v="21"/>
    <m/>
    <m/>
    <m/>
    <m/>
    <x v="3"/>
    <m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raju"/>
    <n v="18"/>
    <n v="100"/>
    <x v="0"/>
    <n v="89"/>
    <n v="0.5"/>
    <x v="0"/>
    <x v="0"/>
    <s v="LOW"/>
    <x v="0"/>
    <n v="4"/>
  </r>
  <r>
    <s v="bheem"/>
    <n v="19"/>
    <n v="90"/>
    <x v="0"/>
    <n v="95"/>
    <n v="0.5"/>
    <x v="0"/>
    <x v="0"/>
    <s v="LOW"/>
    <x v="0"/>
    <n v="5"/>
  </r>
  <r>
    <s v="vignesh"/>
    <n v="22"/>
    <n v="90"/>
    <x v="0"/>
    <n v="96"/>
    <n v="0.5"/>
    <x v="0"/>
    <x v="0"/>
    <s v="LOW"/>
    <x v="0"/>
    <n v="5"/>
  </r>
  <r>
    <s v="arun"/>
    <n v="18"/>
    <n v="80"/>
    <x v="0"/>
    <n v="73"/>
    <n v="2"/>
    <x v="1"/>
    <x v="1"/>
    <s v="MODERATE"/>
    <x v="1"/>
    <n v="2"/>
  </r>
  <r>
    <s v="ankush"/>
    <n v="20"/>
    <n v="100"/>
    <x v="0"/>
    <n v="97"/>
    <n v="0.5"/>
    <x v="0"/>
    <x v="0"/>
    <s v="LOW"/>
    <x v="0"/>
    <n v="5"/>
  </r>
  <r>
    <s v="abirami"/>
    <n v="20"/>
    <n v="80"/>
    <x v="0"/>
    <n v="79"/>
    <n v="1"/>
    <x v="1"/>
    <x v="0"/>
    <s v="MODERATE"/>
    <x v="1"/>
    <n v="2"/>
  </r>
  <r>
    <s v="arjun"/>
    <n v="21"/>
    <n v="75"/>
    <x v="1"/>
    <n v="64"/>
    <n v="2"/>
    <x v="0"/>
    <x v="1"/>
    <s v="HIGH"/>
    <x v="2"/>
    <n v="0"/>
  </r>
  <r>
    <s v="sanjay"/>
    <n v="21"/>
    <n v="60"/>
    <x v="1"/>
    <n v="56"/>
    <n v="3"/>
    <x v="1"/>
    <x v="1"/>
    <s v="HIGH"/>
    <x v="2"/>
    <n v="0"/>
  </r>
  <r>
    <s v="santhosh"/>
    <n v="20"/>
    <n v="50"/>
    <x v="2"/>
    <n v="52"/>
    <n v="3"/>
    <x v="1"/>
    <x v="1"/>
    <s v="HIGH"/>
    <x v="2"/>
    <n v="0"/>
  </r>
  <r>
    <s v="saravana"/>
    <n v="20"/>
    <n v="50"/>
    <x v="2"/>
    <n v="54"/>
    <n v="3"/>
    <x v="1"/>
    <x v="1"/>
    <s v="HIGH"/>
    <x v="2"/>
    <n v="0"/>
  </r>
  <r>
    <s v="rithan"/>
    <n v="17"/>
    <n v="50"/>
    <x v="2"/>
    <n v="55"/>
    <n v="3"/>
    <x v="1"/>
    <x v="1"/>
    <s v="HIGH"/>
    <x v="2"/>
    <n v="0"/>
  </r>
  <r>
    <s v="gowsick"/>
    <n v="18"/>
    <n v="100"/>
    <x v="0"/>
    <n v="98"/>
    <n v="0.2"/>
    <x v="0"/>
    <x v="0"/>
    <s v="LOW"/>
    <x v="0"/>
    <n v="5"/>
  </r>
  <r>
    <s v="manoj"/>
    <n v="20"/>
    <n v="85"/>
    <x v="0"/>
    <n v="95"/>
    <n v="0.5"/>
    <x v="0"/>
    <x v="0"/>
    <s v="LOW"/>
    <x v="0"/>
    <n v="5"/>
  </r>
  <r>
    <s v="tharun"/>
    <n v="21"/>
    <n v="74"/>
    <x v="1"/>
    <n v="82"/>
    <n v="1"/>
    <x v="0"/>
    <x v="0"/>
    <s v="LOW"/>
    <x v="0"/>
    <n v="3.5"/>
  </r>
  <r>
    <s v="dharani"/>
    <n v="18"/>
    <n v="86"/>
    <x v="0"/>
    <n v="90"/>
    <n v="0.8"/>
    <x v="0"/>
    <x v="0"/>
    <s v="LOW"/>
    <x v="0"/>
    <n v="4"/>
  </r>
  <r>
    <s v="vasu"/>
    <n v="19"/>
    <n v="100"/>
    <x v="0"/>
    <n v="60"/>
    <n v="2.5"/>
    <x v="1"/>
    <x v="1"/>
    <s v="HIGH"/>
    <x v="2"/>
    <n v="0"/>
  </r>
  <r>
    <s v="gowtham"/>
    <n v="19"/>
    <n v="96"/>
    <x v="0"/>
    <n v="95"/>
    <n v="0.5"/>
    <x v="0"/>
    <x v="0"/>
    <s v="LOW"/>
    <x v="0"/>
    <n v="5"/>
  </r>
  <r>
    <s v="priya"/>
    <n v="20"/>
    <n v="94"/>
    <x v="0"/>
    <n v="93"/>
    <n v="0.5"/>
    <x v="0"/>
    <x v="0"/>
    <s v="LOW"/>
    <x v="0"/>
    <n v="4"/>
  </r>
  <r>
    <s v="kajol"/>
    <n v="21"/>
    <n v="66"/>
    <x v="1"/>
    <n v="87"/>
    <n v="1"/>
    <x v="0"/>
    <x v="0"/>
    <s v="LOW"/>
    <x v="0"/>
    <n v="4"/>
  </r>
  <r>
    <s v="ramya"/>
    <n v="21"/>
    <n v="64"/>
    <x v="1"/>
    <n v="75"/>
    <n v="2"/>
    <x v="1"/>
    <x v="1"/>
    <s v="MODERATE"/>
    <x v="1"/>
    <n v="2"/>
  </r>
  <r>
    <s v="keerthi"/>
    <n v="19"/>
    <n v="52"/>
    <x v="2"/>
    <n v="79"/>
    <n v="3.5"/>
    <x v="1"/>
    <x v="1"/>
    <s v="HIGH"/>
    <x v="2"/>
    <n v="0"/>
  </r>
  <r>
    <s v="lakshmi"/>
    <n v="18"/>
    <n v="18"/>
    <x v="2"/>
    <n v="40"/>
    <n v="2"/>
    <x v="1"/>
    <x v="1"/>
    <s v="HIGH"/>
    <x v="2"/>
    <n v="0"/>
  </r>
  <r>
    <s v="dharshini"/>
    <n v="19"/>
    <n v="78"/>
    <x v="1"/>
    <n v="79"/>
    <n v="1"/>
    <x v="1"/>
    <x v="0"/>
    <s v="HIGH"/>
    <x v="2"/>
    <n v="0"/>
  </r>
  <r>
    <s v="sasi"/>
    <n v="19"/>
    <n v="73"/>
    <x v="1"/>
    <n v="88"/>
    <n v="3"/>
    <x v="1"/>
    <x v="1"/>
    <s v="LOW"/>
    <x v="0"/>
    <n v="4"/>
  </r>
  <r>
    <s v="sharmidha"/>
    <n v="20"/>
    <n v="64"/>
    <x v="1"/>
    <n v="52"/>
    <n v="3"/>
    <x v="0"/>
    <x v="1"/>
    <s v="HIGH"/>
    <x v="2"/>
    <n v="0"/>
  </r>
  <r>
    <s v="vasundhara"/>
    <n v="21"/>
    <n v="58"/>
    <x v="2"/>
    <n v="50"/>
    <n v="0.2"/>
    <x v="0"/>
    <x v="0"/>
    <s v="HIGH"/>
    <x v="2"/>
    <n v="0"/>
  </r>
  <r>
    <s v="varnika"/>
    <n v="22"/>
    <n v="97"/>
    <x v="0"/>
    <n v="97"/>
    <n v="0.2"/>
    <x v="0"/>
    <x v="0"/>
    <s v="LOW"/>
    <x v="0"/>
    <n v="5"/>
  </r>
  <r>
    <s v="hansika"/>
    <n v="22"/>
    <n v="98"/>
    <x v="0"/>
    <n v="98"/>
    <n v="0.2"/>
    <x v="0"/>
    <x v="0"/>
    <s v="LOW"/>
    <x v="0"/>
    <n v="5"/>
  </r>
  <r>
    <s v="rai lakshmi"/>
    <n v="21"/>
    <n v="99"/>
    <x v="0"/>
    <n v="99"/>
    <n v="1.4"/>
    <x v="0"/>
    <x v="1"/>
    <s v="LOW"/>
    <x v="0"/>
    <n v="5"/>
  </r>
  <r>
    <s v="honey rose"/>
    <n v="19"/>
    <n v="100"/>
    <x v="0"/>
    <n v="100"/>
    <n v="0"/>
    <x v="0"/>
    <x v="0"/>
    <s v="LOW"/>
    <x v="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CC4C59-7347-4F9A-B2A3-6A8D1D26DA9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10"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5">
        <item x="2"/>
        <item x="0"/>
        <item x="1"/>
        <item h="1" x="3"/>
        <item t="default"/>
      </items>
    </pivotField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EXAM SCORE" fld="3" subtotal="average" baseField="7" baseItem="0"/>
  </dataFields>
  <formats count="3">
    <format dxfId="2">
      <pivotArea collapsedLevelsAreSubtotals="1" fieldPosition="0">
        <references count="1">
          <reference field="7" count="1">
            <x v="0"/>
          </reference>
        </references>
      </pivotArea>
    </format>
    <format dxfId="1">
      <pivotArea collapsedLevelsAreSubtotals="1" fieldPosition="0">
        <references count="1">
          <reference field="7" count="1">
            <x v="1"/>
          </reference>
        </references>
      </pivotArea>
    </format>
    <format dxfId="0">
      <pivotArea collapsedLevelsAreSubtotals="1" fieldPosition="0">
        <references count="1">
          <reference field="7" count="1">
            <x v="2"/>
          </reference>
        </references>
      </pivotArea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38A7D2-7FEE-4494-A1F5-7ECB06E1537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9" firstHeaderRow="1" firstDataRow="1" firstDataCol="1"/>
  <pivotFields count="10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7">
        <item x="3"/>
        <item x="2"/>
        <item x="4"/>
        <item x="0"/>
        <item x="1"/>
        <item h="1" x="5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EXAM SCORE" fld="3" subtotal="average" baseField="9" baseItem="0" numFmtId="164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22CD0B-F693-4059-AE87-26F402BF334C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1"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EXAM SCORE" fld="4" subtotal="average" baseField="3" baseItem="0" numFmtId="164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88BF17-8DC2-47E3-9F6D-887400036A17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11"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Average of EXAM SCORE" fld="4" subtotal="average" baseField="7" baseItem="0" numFmtId="164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8A15B9-DCAC-4ACB-B476-BFD8CBCCCB20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11"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Average of EXAM SCORE" fld="4" subtotal="average" baseField="6" baseItem="0" numFmtId="16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160FFA-9CE8-4CE2-B0B6-7955D5577F02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11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EXAM SCORE" fld="4" subtotal="average" baseField="9" baseItem="0" numFmtId="16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FA41C-75E8-4504-ACC5-F4A730D36E94}">
  <dimension ref="A3:B7"/>
  <sheetViews>
    <sheetView tabSelected="1" workbookViewId="0">
      <selection activeCell="I23" sqref="I23"/>
    </sheetView>
  </sheetViews>
  <sheetFormatPr defaultRowHeight="14.4" x14ac:dyDescent="0.3"/>
  <cols>
    <col min="1" max="1" width="12.5546875" bestFit="1" customWidth="1"/>
    <col min="2" max="2" width="22" bestFit="1" customWidth="1"/>
  </cols>
  <sheetData>
    <row r="3" spans="1:2" x14ac:dyDescent="0.3">
      <c r="A3" s="7" t="s">
        <v>56</v>
      </c>
      <c r="B3" t="s">
        <v>58</v>
      </c>
    </row>
    <row r="4" spans="1:2" x14ac:dyDescent="0.3">
      <c r="A4" s="8" t="s">
        <v>25</v>
      </c>
      <c r="B4" s="9">
        <v>58.272727272727273</v>
      </c>
    </row>
    <row r="5" spans="1:2" x14ac:dyDescent="0.3">
      <c r="A5" s="8" t="s">
        <v>13</v>
      </c>
      <c r="B5" s="9">
        <v>93.6875</v>
      </c>
    </row>
    <row r="6" spans="1:2" x14ac:dyDescent="0.3">
      <c r="A6" s="8" t="s">
        <v>20</v>
      </c>
      <c r="B6" s="9">
        <v>75.666666666666671</v>
      </c>
    </row>
    <row r="7" spans="1:2" x14ac:dyDescent="0.3">
      <c r="A7" s="8" t="s">
        <v>57</v>
      </c>
      <c r="B7">
        <v>78.900000000000006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2F923-6470-4F5A-AD00-92CC0705F01A}">
  <dimension ref="A3:B9"/>
  <sheetViews>
    <sheetView workbookViewId="0">
      <selection activeCell="D24" sqref="D24"/>
    </sheetView>
  </sheetViews>
  <sheetFormatPr defaultRowHeight="14.4" x14ac:dyDescent="0.3"/>
  <cols>
    <col min="1" max="1" width="12.5546875" bestFit="1" customWidth="1"/>
    <col min="2" max="2" width="22" bestFit="1" customWidth="1"/>
  </cols>
  <sheetData>
    <row r="3" spans="1:2" x14ac:dyDescent="0.3">
      <c r="A3" s="7" t="s">
        <v>56</v>
      </c>
      <c r="B3" t="s">
        <v>58</v>
      </c>
    </row>
    <row r="4" spans="1:2" x14ac:dyDescent="0.3">
      <c r="A4" s="8">
        <v>0</v>
      </c>
      <c r="B4" s="10">
        <v>58.272727272727273</v>
      </c>
    </row>
    <row r="5" spans="1:2" x14ac:dyDescent="0.3">
      <c r="A5" s="8">
        <v>2</v>
      </c>
      <c r="B5" s="10">
        <v>75.666666666666671</v>
      </c>
    </row>
    <row r="6" spans="1:2" x14ac:dyDescent="0.3">
      <c r="A6" s="8">
        <v>3.5</v>
      </c>
      <c r="B6" s="10">
        <v>82</v>
      </c>
    </row>
    <row r="7" spans="1:2" x14ac:dyDescent="0.3">
      <c r="A7" s="8">
        <v>4</v>
      </c>
      <c r="B7" s="10">
        <v>89.4</v>
      </c>
    </row>
    <row r="8" spans="1:2" x14ac:dyDescent="0.3">
      <c r="A8" s="8">
        <v>5</v>
      </c>
      <c r="B8" s="10">
        <v>97</v>
      </c>
    </row>
    <row r="9" spans="1:2" x14ac:dyDescent="0.3">
      <c r="A9" s="8" t="s">
        <v>57</v>
      </c>
      <c r="B9" s="10">
        <v>78.900000000000006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C59E1-26E5-44ED-B779-7DDD3D08403F}">
  <dimension ref="A3:B7"/>
  <sheetViews>
    <sheetView workbookViewId="0">
      <selection activeCell="N8" sqref="N8"/>
    </sheetView>
  </sheetViews>
  <sheetFormatPr defaultRowHeight="14.4" x14ac:dyDescent="0.3"/>
  <cols>
    <col min="1" max="1" width="16.21875" bestFit="1" customWidth="1"/>
    <col min="2" max="2" width="22" bestFit="1" customWidth="1"/>
  </cols>
  <sheetData>
    <row r="3" spans="1:2" x14ac:dyDescent="0.3">
      <c r="A3" s="7" t="s">
        <v>56</v>
      </c>
      <c r="B3" t="s">
        <v>58</v>
      </c>
    </row>
    <row r="4" spans="1:2" x14ac:dyDescent="0.3">
      <c r="A4" s="8" t="s">
        <v>64</v>
      </c>
      <c r="B4" s="10">
        <v>55</v>
      </c>
    </row>
    <row r="5" spans="1:2" x14ac:dyDescent="0.3">
      <c r="A5" s="8" t="s">
        <v>62</v>
      </c>
      <c r="B5" s="10">
        <v>72.875</v>
      </c>
    </row>
    <row r="6" spans="1:2" x14ac:dyDescent="0.3">
      <c r="A6" s="8" t="s">
        <v>63</v>
      </c>
      <c r="B6" s="10">
        <v>90.875</v>
      </c>
    </row>
    <row r="7" spans="1:2" x14ac:dyDescent="0.3">
      <c r="A7" s="8" t="s">
        <v>57</v>
      </c>
      <c r="B7" s="10">
        <v>78.900000000000006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6E1E3-F10C-4ADD-A988-33899FDDA418}">
  <dimension ref="A3:B6"/>
  <sheetViews>
    <sheetView workbookViewId="0">
      <selection activeCell="N13" sqref="N13"/>
    </sheetView>
  </sheetViews>
  <sheetFormatPr defaultRowHeight="14.4" x14ac:dyDescent="0.3"/>
  <cols>
    <col min="1" max="1" width="12.5546875" bestFit="1" customWidth="1"/>
    <col min="2" max="2" width="22" bestFit="1" customWidth="1"/>
  </cols>
  <sheetData>
    <row r="3" spans="1:2" x14ac:dyDescent="0.3">
      <c r="A3" s="7" t="s">
        <v>56</v>
      </c>
      <c r="B3" t="s">
        <v>58</v>
      </c>
    </row>
    <row r="4" spans="1:2" x14ac:dyDescent="0.3">
      <c r="A4" s="8" t="s">
        <v>19</v>
      </c>
      <c r="B4" s="10">
        <v>65.15384615384616</v>
      </c>
    </row>
    <row r="5" spans="1:2" x14ac:dyDescent="0.3">
      <c r="A5" s="8" t="s">
        <v>12</v>
      </c>
      <c r="B5" s="10">
        <v>89.411764705882348</v>
      </c>
    </row>
    <row r="6" spans="1:2" x14ac:dyDescent="0.3">
      <c r="A6" s="8" t="s">
        <v>57</v>
      </c>
      <c r="B6" s="10">
        <v>78.900000000000006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11658-6071-4412-ADC3-606378FF35F9}">
  <dimension ref="A3:B6"/>
  <sheetViews>
    <sheetView workbookViewId="0">
      <selection activeCell="M16" sqref="M16"/>
    </sheetView>
  </sheetViews>
  <sheetFormatPr defaultRowHeight="14.4" x14ac:dyDescent="0.3"/>
  <cols>
    <col min="1" max="1" width="12.5546875" bestFit="1" customWidth="1"/>
    <col min="2" max="2" width="22" bestFit="1" customWidth="1"/>
  </cols>
  <sheetData>
    <row r="3" spans="1:2" x14ac:dyDescent="0.3">
      <c r="A3" s="7" t="s">
        <v>56</v>
      </c>
      <c r="B3" t="s">
        <v>58</v>
      </c>
    </row>
    <row r="4" spans="1:2" x14ac:dyDescent="0.3">
      <c r="A4" s="8" t="s">
        <v>11</v>
      </c>
      <c r="B4" s="10">
        <v>87.611111111111114</v>
      </c>
    </row>
    <row r="5" spans="1:2" x14ac:dyDescent="0.3">
      <c r="A5" s="8" t="s">
        <v>18</v>
      </c>
      <c r="B5" s="10">
        <v>65.833333333333329</v>
      </c>
    </row>
    <row r="6" spans="1:2" x14ac:dyDescent="0.3">
      <c r="A6" s="8" t="s">
        <v>57</v>
      </c>
      <c r="B6" s="10">
        <v>78.900000000000006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58F38-EB64-4E52-B815-83A1C850E601}">
  <dimension ref="A3:B7"/>
  <sheetViews>
    <sheetView workbookViewId="0">
      <selection activeCell="G24" sqref="G24"/>
    </sheetView>
  </sheetViews>
  <sheetFormatPr defaultRowHeight="14.4" x14ac:dyDescent="0.3"/>
  <cols>
    <col min="1" max="1" width="15.33203125" bestFit="1" customWidth="1"/>
    <col min="2" max="2" width="22" bestFit="1" customWidth="1"/>
  </cols>
  <sheetData>
    <row r="3" spans="1:2" x14ac:dyDescent="0.3">
      <c r="A3" s="7" t="s">
        <v>56</v>
      </c>
      <c r="B3" t="s">
        <v>58</v>
      </c>
    </row>
    <row r="4" spans="1:2" x14ac:dyDescent="0.3">
      <c r="A4" s="8" t="s">
        <v>26</v>
      </c>
      <c r="B4" s="10">
        <v>58.272727272727273</v>
      </c>
    </row>
    <row r="5" spans="1:2" x14ac:dyDescent="0.3">
      <c r="A5" s="8" t="s">
        <v>21</v>
      </c>
      <c r="B5" s="10">
        <v>75.666666666666671</v>
      </c>
    </row>
    <row r="6" spans="1:2" x14ac:dyDescent="0.3">
      <c r="A6" s="8" t="s">
        <v>14</v>
      </c>
      <c r="B6" s="10">
        <v>93.6875</v>
      </c>
    </row>
    <row r="7" spans="1:2" x14ac:dyDescent="0.3">
      <c r="A7" s="8" t="s">
        <v>57</v>
      </c>
      <c r="B7" s="10">
        <v>78.900000000000006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D800A-C5D4-42E5-B8DE-93B2E7A7E480}">
  <dimension ref="A1:R55"/>
  <sheetViews>
    <sheetView showGridLines="0" topLeftCell="A19" zoomScale="80" workbookViewId="0">
      <selection activeCell="L57" sqref="L57"/>
    </sheetView>
  </sheetViews>
  <sheetFormatPr defaultRowHeight="14.4" x14ac:dyDescent="0.3"/>
  <sheetData>
    <row r="1" spans="1:8" x14ac:dyDescent="0.3">
      <c r="A1" s="12" t="s">
        <v>65</v>
      </c>
      <c r="B1" s="13"/>
      <c r="C1" s="13"/>
      <c r="D1" s="13"/>
      <c r="E1" s="13"/>
      <c r="F1" s="13"/>
      <c r="G1" s="13"/>
      <c r="H1" s="13"/>
    </row>
    <row r="2" spans="1:8" x14ac:dyDescent="0.3">
      <c r="A2" s="13"/>
      <c r="B2" s="13"/>
      <c r="C2" s="13"/>
      <c r="D2" s="13"/>
      <c r="E2" s="13"/>
      <c r="F2" s="13"/>
      <c r="G2" s="13"/>
      <c r="H2" s="13"/>
    </row>
    <row r="3" spans="1:8" ht="15" thickBot="1" x14ac:dyDescent="0.35"/>
    <row r="4" spans="1:8" ht="15" thickBot="1" x14ac:dyDescent="0.35">
      <c r="A4" s="15" t="s">
        <v>50</v>
      </c>
      <c r="B4" s="16"/>
      <c r="D4" s="17" t="s">
        <v>51</v>
      </c>
      <c r="E4" s="18"/>
      <c r="H4" s="14"/>
    </row>
    <row r="5" spans="1:8" ht="15" thickBot="1" x14ac:dyDescent="0.35">
      <c r="A5" s="29"/>
      <c r="B5" s="30"/>
      <c r="D5" s="31"/>
      <c r="E5" s="32"/>
    </row>
    <row r="6" spans="1:8" ht="24" thickBot="1" x14ac:dyDescent="0.5">
      <c r="A6" s="26">
        <f>Analysis!B1</f>
        <v>30</v>
      </c>
      <c r="B6" s="27"/>
      <c r="D6" s="24">
        <f>Analysis!B2</f>
        <v>19.766666666666666</v>
      </c>
      <c r="E6" s="25"/>
    </row>
    <row r="7" spans="1:8" ht="15" thickBot="1" x14ac:dyDescent="0.35"/>
    <row r="8" spans="1:8" ht="15" thickBot="1" x14ac:dyDescent="0.35">
      <c r="A8" s="17" t="s">
        <v>52</v>
      </c>
      <c r="B8" s="18"/>
      <c r="D8" s="19" t="s">
        <v>53</v>
      </c>
      <c r="E8" s="20"/>
    </row>
    <row r="9" spans="1:8" ht="15" thickBot="1" x14ac:dyDescent="0.35">
      <c r="A9" s="31"/>
      <c r="B9" s="32"/>
      <c r="D9" s="29"/>
      <c r="E9" s="30"/>
    </row>
    <row r="10" spans="1:8" ht="24" thickBot="1" x14ac:dyDescent="0.5">
      <c r="A10" s="24">
        <f>Analysis!B3</f>
        <v>77.566666666666663</v>
      </c>
      <c r="B10" s="25"/>
      <c r="D10" s="28">
        <f>Analysis!B4</f>
        <v>78.900000000000006</v>
      </c>
      <c r="E10" s="27"/>
    </row>
    <row r="11" spans="1:8" ht="15" thickBot="1" x14ac:dyDescent="0.35"/>
    <row r="12" spans="1:8" ht="15" thickBot="1" x14ac:dyDescent="0.35">
      <c r="A12" s="15" t="s">
        <v>59</v>
      </c>
      <c r="B12" s="16"/>
      <c r="D12" s="15" t="s">
        <v>55</v>
      </c>
      <c r="E12" s="16"/>
    </row>
    <row r="13" spans="1:8" ht="15" thickBot="1" x14ac:dyDescent="0.35">
      <c r="A13" s="29"/>
      <c r="B13" s="30"/>
      <c r="D13" s="29"/>
      <c r="E13" s="30"/>
    </row>
    <row r="14" spans="1:8" ht="24" thickBot="1" x14ac:dyDescent="0.5">
      <c r="A14" s="26">
        <f>Analysis!B5</f>
        <v>100</v>
      </c>
      <c r="B14" s="27"/>
      <c r="D14" s="26">
        <f>Analysis!B6</f>
        <v>40</v>
      </c>
      <c r="E14" s="27"/>
    </row>
    <row r="15" spans="1:8" ht="15" thickBot="1" x14ac:dyDescent="0.35">
      <c r="G15" s="39"/>
    </row>
    <row r="16" spans="1:8" ht="15" thickBot="1" x14ac:dyDescent="0.35">
      <c r="B16" s="21" t="s">
        <v>60</v>
      </c>
      <c r="C16" s="22"/>
      <c r="D16" s="23"/>
    </row>
    <row r="17" spans="2:4" ht="15" thickBot="1" x14ac:dyDescent="0.35">
      <c r="B17" s="36"/>
      <c r="C17" s="37"/>
      <c r="D17" s="38"/>
    </row>
    <row r="18" spans="2:4" ht="24" thickBot="1" x14ac:dyDescent="0.35">
      <c r="B18" s="33">
        <f>Analysis!B7</f>
        <v>2.65</v>
      </c>
      <c r="C18" s="34"/>
      <c r="D18" s="35"/>
    </row>
    <row r="37" spans="1:18" x14ac:dyDescent="0.3">
      <c r="A37" s="11" t="s">
        <v>69</v>
      </c>
      <c r="B37" s="11"/>
      <c r="C37" s="11"/>
      <c r="D37" s="11"/>
      <c r="E37" s="11"/>
      <c r="F37" s="11"/>
      <c r="G37" s="11"/>
      <c r="H37" s="11"/>
      <c r="K37" s="11" t="s">
        <v>66</v>
      </c>
      <c r="L37" s="11"/>
      <c r="M37" s="11"/>
      <c r="N37" s="11"/>
      <c r="O37" s="11"/>
      <c r="P37" s="11"/>
      <c r="Q37" s="11"/>
      <c r="R37" s="11"/>
    </row>
    <row r="55" spans="1:18" x14ac:dyDescent="0.3">
      <c r="A55" s="11" t="s">
        <v>67</v>
      </c>
      <c r="B55" s="11"/>
      <c r="C55" s="11"/>
      <c r="D55" s="11"/>
      <c r="E55" s="11"/>
      <c r="F55" s="11"/>
      <c r="G55" s="11"/>
      <c r="H55" s="11"/>
      <c r="K55" s="11" t="s">
        <v>68</v>
      </c>
      <c r="L55" s="11"/>
      <c r="M55" s="11"/>
      <c r="N55" s="11"/>
      <c r="O55" s="11"/>
      <c r="P55" s="11"/>
      <c r="Q55" s="11"/>
      <c r="R55" s="11"/>
    </row>
  </sheetData>
  <mergeCells count="26">
    <mergeCell ref="A55:H55"/>
    <mergeCell ref="K55:R55"/>
    <mergeCell ref="B16:D16"/>
    <mergeCell ref="B17:D17"/>
    <mergeCell ref="B18:D18"/>
    <mergeCell ref="A37:H37"/>
    <mergeCell ref="K37:R37"/>
    <mergeCell ref="D10:E10"/>
    <mergeCell ref="A12:B12"/>
    <mergeCell ref="A13:B13"/>
    <mergeCell ref="A14:B14"/>
    <mergeCell ref="D12:E12"/>
    <mergeCell ref="D13:E13"/>
    <mergeCell ref="D14:E14"/>
    <mergeCell ref="A4:B4"/>
    <mergeCell ref="A5:B5"/>
    <mergeCell ref="A6:B6"/>
    <mergeCell ref="D4:E4"/>
    <mergeCell ref="D5:E5"/>
    <mergeCell ref="D6:E6"/>
    <mergeCell ref="A8:B8"/>
    <mergeCell ref="A9:B9"/>
    <mergeCell ref="A1:H2"/>
    <mergeCell ref="A10:B10"/>
    <mergeCell ref="D8:E8"/>
    <mergeCell ref="D9:E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CC87E-6629-46F7-B610-7ED5AE23EA46}">
  <dimension ref="A1:K31"/>
  <sheetViews>
    <sheetView zoomScale="78" workbookViewId="0">
      <selection sqref="A1:K31"/>
    </sheetView>
  </sheetViews>
  <sheetFormatPr defaultRowHeight="14.4" x14ac:dyDescent="0.3"/>
  <cols>
    <col min="1" max="1" width="13.77734375" customWidth="1"/>
    <col min="2" max="2" width="13" customWidth="1"/>
    <col min="3" max="3" width="13.88671875" customWidth="1"/>
    <col min="4" max="4" width="21.33203125" customWidth="1"/>
    <col min="5" max="5" width="13.44140625" customWidth="1"/>
    <col min="6" max="6" width="14" customWidth="1"/>
    <col min="8" max="8" width="12.109375" customWidth="1"/>
    <col min="9" max="9" width="13.44140625" customWidth="1"/>
    <col min="10" max="10" width="18.5546875" customWidth="1"/>
    <col min="11" max="11" width="12.109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61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t="s">
        <v>10</v>
      </c>
      <c r="B2">
        <v>18</v>
      </c>
      <c r="C2">
        <v>100</v>
      </c>
      <c r="D2" t="str">
        <f>IF(C2&lt;60, "Poor (&lt;60%)", IF(AND(C2&gt;=60,C2&lt;80), "Average (60 - 79%)", "Good (80 - 100%)"))</f>
        <v>Good (80 - 100%)</v>
      </c>
      <c r="E2">
        <v>89</v>
      </c>
      <c r="F2">
        <v>0.5</v>
      </c>
      <c r="G2" t="s">
        <v>11</v>
      </c>
      <c r="H2" t="s">
        <v>12</v>
      </c>
      <c r="I2" t="s">
        <v>13</v>
      </c>
      <c r="J2" t="s">
        <v>14</v>
      </c>
      <c r="K2">
        <v>4</v>
      </c>
    </row>
    <row r="3" spans="1:11" x14ac:dyDescent="0.3">
      <c r="A3" t="s">
        <v>15</v>
      </c>
      <c r="B3">
        <v>19</v>
      </c>
      <c r="C3">
        <v>90</v>
      </c>
      <c r="D3" t="str">
        <f>IF(C3&lt;60, "Poor (&lt;60%)", IF(AND(C3&gt;=60,C3&lt;80), "Average (60 - 79%)", "Good (80 - 100%)"))</f>
        <v>Good (80 - 100%)</v>
      </c>
      <c r="E3">
        <v>95</v>
      </c>
      <c r="F3">
        <v>0.5</v>
      </c>
      <c r="G3" t="s">
        <v>11</v>
      </c>
      <c r="H3" t="s">
        <v>12</v>
      </c>
      <c r="I3" t="s">
        <v>13</v>
      </c>
      <c r="J3" t="s">
        <v>14</v>
      </c>
      <c r="K3">
        <v>5</v>
      </c>
    </row>
    <row r="4" spans="1:11" x14ac:dyDescent="0.3">
      <c r="A4" t="s">
        <v>16</v>
      </c>
      <c r="B4">
        <v>22</v>
      </c>
      <c r="C4">
        <v>90</v>
      </c>
      <c r="D4" t="str">
        <f>IF(C4&lt;60, "Poor (&lt;60%)", IF(AND(C4&gt;=60,C4&lt;80), "Average (60 - 79%)", "Good (80 - 100%)"))</f>
        <v>Good (80 - 100%)</v>
      </c>
      <c r="E4">
        <v>96</v>
      </c>
      <c r="F4">
        <v>0.5</v>
      </c>
      <c r="G4" t="s">
        <v>11</v>
      </c>
      <c r="H4" t="s">
        <v>12</v>
      </c>
      <c r="I4" t="s">
        <v>13</v>
      </c>
      <c r="J4" t="s">
        <v>14</v>
      </c>
      <c r="K4">
        <v>5</v>
      </c>
    </row>
    <row r="5" spans="1:11" x14ac:dyDescent="0.3">
      <c r="A5" t="s">
        <v>17</v>
      </c>
      <c r="B5">
        <v>18</v>
      </c>
      <c r="C5">
        <v>80</v>
      </c>
      <c r="D5" t="str">
        <f>IF(C5&lt;60, "Poor (&lt;60%)", IF(AND(C5&gt;=60,C5&lt;80), "Average (60 - 79%)", "Good (80 - 100%)"))</f>
        <v>Good (80 - 100%)</v>
      </c>
      <c r="E5">
        <v>73</v>
      </c>
      <c r="F5">
        <v>2</v>
      </c>
      <c r="G5" t="s">
        <v>18</v>
      </c>
      <c r="H5" t="s">
        <v>19</v>
      </c>
      <c r="I5" t="s">
        <v>20</v>
      </c>
      <c r="J5" t="s">
        <v>21</v>
      </c>
      <c r="K5">
        <v>2</v>
      </c>
    </row>
    <row r="6" spans="1:11" x14ac:dyDescent="0.3">
      <c r="A6" t="s">
        <v>22</v>
      </c>
      <c r="B6">
        <v>20</v>
      </c>
      <c r="C6">
        <v>100</v>
      </c>
      <c r="D6" t="str">
        <f>IF(C2&lt;60, "Poor (&lt;60%)", IF(AND(C2&gt;=60,C2&lt;80), "Average (60 - 79%)", "Good (80 - 100%)"))</f>
        <v>Good (80 - 100%)</v>
      </c>
      <c r="E6">
        <v>97</v>
      </c>
      <c r="F6">
        <v>0.5</v>
      </c>
      <c r="G6" t="s">
        <v>11</v>
      </c>
      <c r="H6" t="s">
        <v>12</v>
      </c>
      <c r="I6" t="s">
        <v>13</v>
      </c>
      <c r="J6" t="s">
        <v>14</v>
      </c>
      <c r="K6">
        <v>5</v>
      </c>
    </row>
    <row r="7" spans="1:11" x14ac:dyDescent="0.3">
      <c r="A7" t="s">
        <v>23</v>
      </c>
      <c r="B7">
        <v>20</v>
      </c>
      <c r="C7">
        <v>80</v>
      </c>
      <c r="D7" t="str">
        <f>IF(C2&lt;60, "Poor (&lt;60%)", IF(AND(C2&gt;=60,C2&lt;80), "Average (60 - 79%)", "Good (80 - 100%)"))</f>
        <v>Good (80 - 100%)</v>
      </c>
      <c r="E7">
        <v>79</v>
      </c>
      <c r="F7">
        <v>1</v>
      </c>
      <c r="G7" t="s">
        <v>18</v>
      </c>
      <c r="H7" t="s">
        <v>12</v>
      </c>
      <c r="I7" t="s">
        <v>20</v>
      </c>
      <c r="J7" t="s">
        <v>21</v>
      </c>
      <c r="K7">
        <v>2</v>
      </c>
    </row>
    <row r="8" spans="1:11" x14ac:dyDescent="0.3">
      <c r="A8" t="s">
        <v>24</v>
      </c>
      <c r="B8">
        <v>21</v>
      </c>
      <c r="C8">
        <v>75</v>
      </c>
      <c r="D8" t="str">
        <f>IF(C8&lt;60, "Poor (&lt;60%)", IF(AND(C8&gt;=60,C8&lt;80), "Average (60 - 79%)", "Good (80 - 100%)"))</f>
        <v>Average (60 - 79%)</v>
      </c>
      <c r="E8">
        <v>64</v>
      </c>
      <c r="F8">
        <v>2</v>
      </c>
      <c r="G8" t="s">
        <v>11</v>
      </c>
      <c r="H8" t="s">
        <v>19</v>
      </c>
      <c r="I8" t="s">
        <v>25</v>
      </c>
      <c r="J8" t="s">
        <v>26</v>
      </c>
      <c r="K8">
        <v>0</v>
      </c>
    </row>
    <row r="9" spans="1:11" x14ac:dyDescent="0.3">
      <c r="A9" t="s">
        <v>27</v>
      </c>
      <c r="B9">
        <v>21</v>
      </c>
      <c r="C9">
        <v>60</v>
      </c>
      <c r="D9" t="str">
        <f>IF(C9&lt;60, "Poor (&lt;60%)", IF(C9&lt;80, "Average (60 - 79%)", "Good (80 - 100%)"))</f>
        <v>Average (60 - 79%)</v>
      </c>
      <c r="E9">
        <v>56</v>
      </c>
      <c r="F9">
        <v>3</v>
      </c>
      <c r="G9" t="s">
        <v>18</v>
      </c>
      <c r="H9" t="s">
        <v>19</v>
      </c>
      <c r="I9" t="s">
        <v>25</v>
      </c>
      <c r="J9" t="s">
        <v>26</v>
      </c>
      <c r="K9">
        <v>0</v>
      </c>
    </row>
    <row r="10" spans="1:11" x14ac:dyDescent="0.3">
      <c r="A10" t="s">
        <v>28</v>
      </c>
      <c r="B10">
        <v>20</v>
      </c>
      <c r="C10">
        <v>50</v>
      </c>
      <c r="D10" t="str">
        <f>IF(C10&lt;60, "Poor (&lt;60%)", IF(C10&lt;80, "Average (60 - 79%)", "Good (80 - 100%)"))</f>
        <v>Poor (&lt;60%)</v>
      </c>
      <c r="E10">
        <v>52</v>
      </c>
      <c r="F10">
        <v>3</v>
      </c>
      <c r="G10" t="s">
        <v>18</v>
      </c>
      <c r="H10" t="s">
        <v>19</v>
      </c>
      <c r="I10" t="s">
        <v>25</v>
      </c>
      <c r="J10" t="s">
        <v>26</v>
      </c>
      <c r="K10">
        <v>0</v>
      </c>
    </row>
    <row r="11" spans="1:11" x14ac:dyDescent="0.3">
      <c r="A11" t="s">
        <v>29</v>
      </c>
      <c r="B11">
        <v>20</v>
      </c>
      <c r="C11">
        <v>50</v>
      </c>
      <c r="D11" t="str">
        <f>IF(C10&lt;60, "Poor (&lt;60%)", IF(C10&lt;80, "Average (60 - 79%)", "Good (80 - 100%)"))</f>
        <v>Poor (&lt;60%)</v>
      </c>
      <c r="E11">
        <v>54</v>
      </c>
      <c r="F11">
        <v>3</v>
      </c>
      <c r="G11" t="s">
        <v>18</v>
      </c>
      <c r="H11" t="s">
        <v>19</v>
      </c>
      <c r="I11" t="s">
        <v>25</v>
      </c>
      <c r="J11" t="s">
        <v>26</v>
      </c>
      <c r="K11">
        <v>0</v>
      </c>
    </row>
    <row r="12" spans="1:11" x14ac:dyDescent="0.3">
      <c r="A12" t="s">
        <v>30</v>
      </c>
      <c r="B12">
        <v>17</v>
      </c>
      <c r="C12">
        <v>50</v>
      </c>
      <c r="D12" t="str">
        <f>IF(C10&lt;60, "Poor (&lt;60%)", IF(C10&lt;80, "Average (60 - 79%)", "Good (80 - 100%)"))</f>
        <v>Poor (&lt;60%)</v>
      </c>
      <c r="E12">
        <v>55</v>
      </c>
      <c r="F12">
        <v>3</v>
      </c>
      <c r="G12" t="s">
        <v>18</v>
      </c>
      <c r="H12" t="s">
        <v>19</v>
      </c>
      <c r="I12" t="s">
        <v>25</v>
      </c>
      <c r="J12" t="s">
        <v>26</v>
      </c>
      <c r="K12">
        <v>0</v>
      </c>
    </row>
    <row r="13" spans="1:11" x14ac:dyDescent="0.3">
      <c r="A13" t="s">
        <v>31</v>
      </c>
      <c r="B13">
        <v>18</v>
      </c>
      <c r="C13">
        <v>100</v>
      </c>
      <c r="D13" t="str">
        <f>IF(C2&lt;60, "Poor (&lt;60%)", IF(AND(C2&gt;=60,C2&lt;80), "Average (60 - 79%)", "Good (80 - 100%)"))</f>
        <v>Good (80 - 100%)</v>
      </c>
      <c r="E13">
        <v>98</v>
      </c>
      <c r="F13">
        <v>0.2</v>
      </c>
      <c r="G13" t="s">
        <v>11</v>
      </c>
      <c r="H13" t="s">
        <v>12</v>
      </c>
      <c r="I13" t="s">
        <v>13</v>
      </c>
      <c r="J13" t="s">
        <v>14</v>
      </c>
      <c r="K13">
        <v>5</v>
      </c>
    </row>
    <row r="14" spans="1:11" x14ac:dyDescent="0.3">
      <c r="A14" t="s">
        <v>32</v>
      </c>
      <c r="B14">
        <v>20</v>
      </c>
      <c r="C14">
        <v>85</v>
      </c>
      <c r="D14" t="str">
        <f>IF(C2&lt;60, "Poor (&lt;60%)", IF(AND(C2&gt;=60,C2&lt;80), "Average (60 - 79%)", "Good (80 - 100%)"))</f>
        <v>Good (80 - 100%)</v>
      </c>
      <c r="E14">
        <v>95</v>
      </c>
      <c r="F14">
        <v>0.5</v>
      </c>
      <c r="G14" t="s">
        <v>11</v>
      </c>
      <c r="H14" t="s">
        <v>12</v>
      </c>
      <c r="I14" t="s">
        <v>13</v>
      </c>
      <c r="J14" t="s">
        <v>14</v>
      </c>
      <c r="K14">
        <v>5</v>
      </c>
    </row>
    <row r="15" spans="1:11" x14ac:dyDescent="0.3">
      <c r="A15" t="s">
        <v>33</v>
      </c>
      <c r="B15">
        <v>21</v>
      </c>
      <c r="C15">
        <v>74</v>
      </c>
      <c r="D15" t="str">
        <f>IF(C9&lt;60, "Poor (&lt;60%)", IF(C9&lt;80, "Average (60 - 79%)", "Good (80 - 100%)"))</f>
        <v>Average (60 - 79%)</v>
      </c>
      <c r="E15">
        <v>82</v>
      </c>
      <c r="F15">
        <v>1</v>
      </c>
      <c r="G15" t="s">
        <v>11</v>
      </c>
      <c r="H15" t="s">
        <v>12</v>
      </c>
      <c r="I15" t="s">
        <v>13</v>
      </c>
      <c r="J15" t="s">
        <v>14</v>
      </c>
      <c r="K15">
        <v>3.5</v>
      </c>
    </row>
    <row r="16" spans="1:11" x14ac:dyDescent="0.3">
      <c r="A16" t="s">
        <v>34</v>
      </c>
      <c r="B16">
        <v>18</v>
      </c>
      <c r="C16">
        <v>86</v>
      </c>
      <c r="D16" t="str">
        <f>IF(C2&lt;60, "Poor (&lt;60%)", IF(AND(C2&gt;=60,C2&lt;80), "Average (60 - 79%)", "Good (80 - 100%)"))</f>
        <v>Good (80 - 100%)</v>
      </c>
      <c r="E16">
        <v>90</v>
      </c>
      <c r="F16">
        <v>0.8</v>
      </c>
      <c r="G16" t="s">
        <v>11</v>
      </c>
      <c r="H16" t="s">
        <v>12</v>
      </c>
      <c r="I16" t="s">
        <v>13</v>
      </c>
      <c r="J16" t="s">
        <v>14</v>
      </c>
      <c r="K16">
        <v>4</v>
      </c>
    </row>
    <row r="17" spans="1:11" x14ac:dyDescent="0.3">
      <c r="A17" t="s">
        <v>35</v>
      </c>
      <c r="B17">
        <v>19</v>
      </c>
      <c r="C17">
        <v>100</v>
      </c>
      <c r="D17" t="str">
        <f>IF(C2&lt;60, "Poor (&lt;60%)", IF(AND(C2&gt;=60,C2&lt;80), "Average (60 - 79%)", "Good (80 - 100%)"))</f>
        <v>Good (80 - 100%)</v>
      </c>
      <c r="E17">
        <v>60</v>
      </c>
      <c r="F17">
        <v>2.5</v>
      </c>
      <c r="G17" t="s">
        <v>18</v>
      </c>
      <c r="H17" t="s">
        <v>19</v>
      </c>
      <c r="I17" t="s">
        <v>25</v>
      </c>
      <c r="J17" t="s">
        <v>26</v>
      </c>
      <c r="K17">
        <v>0</v>
      </c>
    </row>
    <row r="18" spans="1:11" x14ac:dyDescent="0.3">
      <c r="A18" t="s">
        <v>36</v>
      </c>
      <c r="B18">
        <v>19</v>
      </c>
      <c r="C18">
        <v>96</v>
      </c>
      <c r="D18" t="str">
        <f>IF(C2&lt;60, "Poor (&lt;60%)", IF(AND(C2&gt;=60,C2&lt;80), "Average (60 - 79%)", "Good (80 - 100%)"))</f>
        <v>Good (80 - 100%)</v>
      </c>
      <c r="E18">
        <v>95</v>
      </c>
      <c r="F18">
        <v>0.5</v>
      </c>
      <c r="G18" t="s">
        <v>11</v>
      </c>
      <c r="H18" t="s">
        <v>12</v>
      </c>
      <c r="I18" t="s">
        <v>13</v>
      </c>
      <c r="J18" t="s">
        <v>14</v>
      </c>
      <c r="K18">
        <v>5</v>
      </c>
    </row>
    <row r="19" spans="1:11" x14ac:dyDescent="0.3">
      <c r="A19" t="s">
        <v>37</v>
      </c>
      <c r="B19">
        <v>20</v>
      </c>
      <c r="C19">
        <v>94</v>
      </c>
      <c r="D19" t="str">
        <f>IF(C2&lt;60, "Poor (&lt;60%)", IF(AND(C2&gt;=60,C2&lt;80), "Average (60 - 79%)", "Good (80 - 100%)"))</f>
        <v>Good (80 - 100%)</v>
      </c>
      <c r="E19">
        <v>93</v>
      </c>
      <c r="F19">
        <v>0.5</v>
      </c>
      <c r="G19" t="s">
        <v>11</v>
      </c>
      <c r="H19" t="s">
        <v>12</v>
      </c>
      <c r="I19" t="s">
        <v>13</v>
      </c>
      <c r="J19" t="s">
        <v>14</v>
      </c>
      <c r="K19">
        <v>4</v>
      </c>
    </row>
    <row r="20" spans="1:11" x14ac:dyDescent="0.3">
      <c r="A20" t="s">
        <v>38</v>
      </c>
      <c r="B20">
        <v>21</v>
      </c>
      <c r="C20">
        <v>66</v>
      </c>
      <c r="D20" t="str">
        <f>IF(C9&lt;60, "Poor (&lt;60%)", IF(C9&lt;80, "Average (60 - 79%)", "Good (80 - 100%)"))</f>
        <v>Average (60 - 79%)</v>
      </c>
      <c r="E20">
        <v>87</v>
      </c>
      <c r="F20">
        <v>1</v>
      </c>
      <c r="G20" t="s">
        <v>11</v>
      </c>
      <c r="H20" t="s">
        <v>12</v>
      </c>
      <c r="I20" t="s">
        <v>13</v>
      </c>
      <c r="J20" t="s">
        <v>14</v>
      </c>
      <c r="K20">
        <v>4</v>
      </c>
    </row>
    <row r="21" spans="1:11" x14ac:dyDescent="0.3">
      <c r="A21" t="s">
        <v>39</v>
      </c>
      <c r="B21">
        <v>21</v>
      </c>
      <c r="C21">
        <v>64</v>
      </c>
      <c r="D21" t="str">
        <f>IF(C9&lt;60, "Poor (&lt;60%)", IF(C9&lt;80, "Average (60 - 79%)", "Good (80 - 100%)"))</f>
        <v>Average (60 - 79%)</v>
      </c>
      <c r="E21">
        <v>75</v>
      </c>
      <c r="F21">
        <v>2</v>
      </c>
      <c r="G21" t="s">
        <v>18</v>
      </c>
      <c r="H21" t="s">
        <v>19</v>
      </c>
      <c r="I21" t="s">
        <v>20</v>
      </c>
      <c r="J21" t="s">
        <v>21</v>
      </c>
      <c r="K21">
        <v>2</v>
      </c>
    </row>
    <row r="22" spans="1:11" x14ac:dyDescent="0.3">
      <c r="A22" t="s">
        <v>40</v>
      </c>
      <c r="B22">
        <v>19</v>
      </c>
      <c r="C22">
        <v>52</v>
      </c>
      <c r="D22" t="str">
        <f>IF(C10&lt;60, "Poor (&lt;60%)", IF(C10&lt;80, "Average (60 - 79%)", "Good (80 - 100%)"))</f>
        <v>Poor (&lt;60%)</v>
      </c>
      <c r="E22">
        <v>79</v>
      </c>
      <c r="F22">
        <v>3.5</v>
      </c>
      <c r="G22" t="s">
        <v>18</v>
      </c>
      <c r="H22" t="s">
        <v>19</v>
      </c>
      <c r="I22" t="s">
        <v>25</v>
      </c>
      <c r="J22" t="s">
        <v>26</v>
      </c>
      <c r="K22">
        <v>0</v>
      </c>
    </row>
    <row r="23" spans="1:11" x14ac:dyDescent="0.3">
      <c r="A23" t="s">
        <v>41</v>
      </c>
      <c r="B23">
        <v>18</v>
      </c>
      <c r="C23">
        <v>18</v>
      </c>
      <c r="D23" t="str">
        <f>IF(C10&lt;60, "Poor (&lt;60%)", IF(C10&lt;80, "Average (60 - 79%)", "Good (80 - 100%)"))</f>
        <v>Poor (&lt;60%)</v>
      </c>
      <c r="E23">
        <v>40</v>
      </c>
      <c r="F23">
        <v>2</v>
      </c>
      <c r="G23" t="s">
        <v>18</v>
      </c>
      <c r="H23" t="s">
        <v>19</v>
      </c>
      <c r="I23" t="s">
        <v>25</v>
      </c>
      <c r="J23" t="s">
        <v>26</v>
      </c>
      <c r="K23">
        <v>0</v>
      </c>
    </row>
    <row r="24" spans="1:11" x14ac:dyDescent="0.3">
      <c r="A24" t="s">
        <v>42</v>
      </c>
      <c r="B24">
        <v>19</v>
      </c>
      <c r="C24">
        <v>78</v>
      </c>
      <c r="D24" t="str">
        <f>IF(C9&lt;60, "Poor (&lt;60%)", IF(C9&lt;80, "Average (60 - 79%)", "Good (80 - 100%)"))</f>
        <v>Average (60 - 79%)</v>
      </c>
      <c r="E24">
        <v>79</v>
      </c>
      <c r="F24">
        <v>1</v>
      </c>
      <c r="G24" t="s">
        <v>18</v>
      </c>
      <c r="H24" t="s">
        <v>12</v>
      </c>
      <c r="I24" t="s">
        <v>25</v>
      </c>
      <c r="J24" t="s">
        <v>26</v>
      </c>
      <c r="K24">
        <v>0</v>
      </c>
    </row>
    <row r="25" spans="1:11" x14ac:dyDescent="0.3">
      <c r="A25" t="s">
        <v>43</v>
      </c>
      <c r="B25">
        <v>19</v>
      </c>
      <c r="C25">
        <v>73</v>
      </c>
      <c r="D25" t="str">
        <f>IF(C9&lt;60, "Poor (&lt;60%)", IF(C9&lt;80, "Average (60 - 79%)", "Good (80 - 100%)"))</f>
        <v>Average (60 - 79%)</v>
      </c>
      <c r="E25">
        <v>88</v>
      </c>
      <c r="F25">
        <v>3</v>
      </c>
      <c r="G25" t="s">
        <v>18</v>
      </c>
      <c r="H25" t="s">
        <v>19</v>
      </c>
      <c r="I25" t="s">
        <v>13</v>
      </c>
      <c r="J25" t="s">
        <v>14</v>
      </c>
      <c r="K25">
        <v>4</v>
      </c>
    </row>
    <row r="26" spans="1:11" x14ac:dyDescent="0.3">
      <c r="A26" t="s">
        <v>44</v>
      </c>
      <c r="B26">
        <v>20</v>
      </c>
      <c r="C26">
        <v>64</v>
      </c>
      <c r="D26" t="str">
        <f>IF(C9&lt;60, "Poor (&lt;60%)", IF(C9&lt;80, "Average (60 - 79%)", "Good (80 - 100%)"))</f>
        <v>Average (60 - 79%)</v>
      </c>
      <c r="E26">
        <v>52</v>
      </c>
      <c r="F26">
        <v>3</v>
      </c>
      <c r="G26" t="s">
        <v>11</v>
      </c>
      <c r="H26" t="s">
        <v>19</v>
      </c>
      <c r="I26" t="s">
        <v>25</v>
      </c>
      <c r="J26" t="s">
        <v>26</v>
      </c>
      <c r="K26">
        <v>0</v>
      </c>
    </row>
    <row r="27" spans="1:11" x14ac:dyDescent="0.3">
      <c r="A27" t="s">
        <v>45</v>
      </c>
      <c r="B27">
        <v>21</v>
      </c>
      <c r="C27">
        <v>58</v>
      </c>
      <c r="D27" t="str">
        <f>IF(C10&lt;60, "Poor (&lt;60%)", IF(C10&lt;80, "Average (60 - 79%)", "Good (80 - 100%)"))</f>
        <v>Poor (&lt;60%)</v>
      </c>
      <c r="E27">
        <v>50</v>
      </c>
      <c r="F27">
        <v>0.2</v>
      </c>
      <c r="G27" t="s">
        <v>11</v>
      </c>
      <c r="H27" t="s">
        <v>12</v>
      </c>
      <c r="I27" t="s">
        <v>25</v>
      </c>
      <c r="J27" t="s">
        <v>26</v>
      </c>
      <c r="K27">
        <v>0</v>
      </c>
    </row>
    <row r="28" spans="1:11" x14ac:dyDescent="0.3">
      <c r="A28" t="s">
        <v>46</v>
      </c>
      <c r="B28">
        <v>22</v>
      </c>
      <c r="C28">
        <v>97</v>
      </c>
      <c r="D28" t="str">
        <f>IF(C2&lt;60, "Poor (&lt;60%)", IF(AND(C2&gt;=60,C2&lt;80), "Average (60 - 79%)", "Good (80 - 100%)"))</f>
        <v>Good (80 - 100%)</v>
      </c>
      <c r="E28">
        <v>97</v>
      </c>
      <c r="F28">
        <v>0.2</v>
      </c>
      <c r="G28" t="s">
        <v>11</v>
      </c>
      <c r="H28" t="s">
        <v>12</v>
      </c>
      <c r="I28" t="s">
        <v>13</v>
      </c>
      <c r="J28" t="s">
        <v>14</v>
      </c>
      <c r="K28">
        <v>5</v>
      </c>
    </row>
    <row r="29" spans="1:11" x14ac:dyDescent="0.3">
      <c r="A29" t="s">
        <v>47</v>
      </c>
      <c r="B29">
        <v>22</v>
      </c>
      <c r="C29">
        <v>98</v>
      </c>
      <c r="D29" t="str">
        <f>IF(C2&lt;60, "Poor (&lt;60%)", IF(AND(C2&gt;=60,C2&lt;80), "Average (60 - 79%)", "Good (80 - 100%)"))</f>
        <v>Good (80 - 100%)</v>
      </c>
      <c r="E29">
        <v>98</v>
      </c>
      <c r="F29">
        <v>0.2</v>
      </c>
      <c r="G29" t="s">
        <v>11</v>
      </c>
      <c r="H29" t="s">
        <v>12</v>
      </c>
      <c r="I29" t="s">
        <v>13</v>
      </c>
      <c r="J29" t="s">
        <v>14</v>
      </c>
      <c r="K29">
        <v>5</v>
      </c>
    </row>
    <row r="30" spans="1:11" x14ac:dyDescent="0.3">
      <c r="A30" t="s">
        <v>48</v>
      </c>
      <c r="B30">
        <v>21</v>
      </c>
      <c r="C30">
        <v>99</v>
      </c>
      <c r="D30" t="str">
        <f>IF(C2&lt;60, "Poor (&lt;60%)", IF(AND(C2&gt;=60,C2&lt;80), "Average (60 - 79%)", "Good (80 - 100%)"))</f>
        <v>Good (80 - 100%)</v>
      </c>
      <c r="E30">
        <v>99</v>
      </c>
      <c r="F30">
        <v>1.4</v>
      </c>
      <c r="G30" t="s">
        <v>11</v>
      </c>
      <c r="H30" t="s">
        <v>19</v>
      </c>
      <c r="I30" t="s">
        <v>13</v>
      </c>
      <c r="J30" t="s">
        <v>14</v>
      </c>
      <c r="K30">
        <v>5</v>
      </c>
    </row>
    <row r="31" spans="1:11" x14ac:dyDescent="0.3">
      <c r="A31" t="s">
        <v>49</v>
      </c>
      <c r="B31">
        <v>19</v>
      </c>
      <c r="C31">
        <v>100</v>
      </c>
      <c r="D31" t="str">
        <f>IF(C2&lt;60, "Poor (&lt;60%)", IF(AND(C2&gt;=60,C2&lt;80), "Average (60 - 79%)", "Good (80 - 100%)"))</f>
        <v>Good (80 - 100%)</v>
      </c>
      <c r="E31">
        <v>100</v>
      </c>
      <c r="F31">
        <v>0</v>
      </c>
      <c r="G31" t="s">
        <v>11</v>
      </c>
      <c r="H31" t="s">
        <v>12</v>
      </c>
      <c r="I31" t="s">
        <v>13</v>
      </c>
      <c r="J31" t="s">
        <v>14</v>
      </c>
      <c r="K31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AEE69-0FF4-4C9F-838E-1EA430DDE27A}">
  <dimension ref="A1:D8"/>
  <sheetViews>
    <sheetView workbookViewId="0">
      <selection activeCell="A7" sqref="A7"/>
    </sheetView>
  </sheetViews>
  <sheetFormatPr defaultRowHeight="14.4" x14ac:dyDescent="0.3"/>
  <cols>
    <col min="1" max="1" width="20.88671875" style="1" customWidth="1"/>
    <col min="2" max="2" width="17.77734375" style="4" customWidth="1"/>
  </cols>
  <sheetData>
    <row r="1" spans="1:4" ht="29.4" customHeight="1" x14ac:dyDescent="0.3">
      <c r="A1" s="2" t="s">
        <v>50</v>
      </c>
      <c r="B1" s="6">
        <f>COUNTA(Cleaned_Data!A2:A31)</f>
        <v>30</v>
      </c>
    </row>
    <row r="2" spans="1:4" ht="28.8" customHeight="1" x14ac:dyDescent="0.3">
      <c r="A2" s="2" t="s">
        <v>51</v>
      </c>
      <c r="B2" s="3">
        <f>AVERAGE(Cleaned_Data!B2:B31)</f>
        <v>19.766666666666666</v>
      </c>
    </row>
    <row r="3" spans="1:4" ht="28.8" customHeight="1" x14ac:dyDescent="0.3">
      <c r="A3" s="2" t="s">
        <v>52</v>
      </c>
      <c r="B3" s="3">
        <f>AVERAGE(Cleaned_Data!C2:C31)</f>
        <v>77.566666666666663</v>
      </c>
    </row>
    <row r="4" spans="1:4" ht="30" customHeight="1" x14ac:dyDescent="0.3">
      <c r="A4" s="2" t="s">
        <v>53</v>
      </c>
      <c r="B4" s="3">
        <f>AVERAGE(Cleaned_Data!E2:E31)</f>
        <v>78.900000000000006</v>
      </c>
      <c r="D4" s="5"/>
    </row>
    <row r="5" spans="1:4" ht="28.8" customHeight="1" x14ac:dyDescent="0.3">
      <c r="A5" s="2" t="s">
        <v>54</v>
      </c>
      <c r="B5" s="6">
        <f>MAX(Cleaned_Data!E2:E31)</f>
        <v>100</v>
      </c>
    </row>
    <row r="6" spans="1:4" ht="28.8" customHeight="1" x14ac:dyDescent="0.3">
      <c r="A6" s="2" t="s">
        <v>55</v>
      </c>
      <c r="B6" s="6">
        <f>MIN(Cleaned_Data!E2:E31)</f>
        <v>40</v>
      </c>
    </row>
    <row r="7" spans="1:4" ht="28.8" customHeight="1" x14ac:dyDescent="0.3">
      <c r="A7" s="2" t="s">
        <v>60</v>
      </c>
      <c r="B7" s="3">
        <f>AVERAGE(Cleaned_Data!K2:K31)</f>
        <v>2.65</v>
      </c>
    </row>
    <row r="8" spans="1:4" ht="15" customHeight="1" x14ac:dyDescent="0.3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CFAE6-28E2-49C2-9AA5-02C37C305847}">
  <dimension ref="A1:J31"/>
  <sheetViews>
    <sheetView zoomScale="78" workbookViewId="0">
      <selection activeCell="P25" sqref="P25"/>
    </sheetView>
  </sheetViews>
  <sheetFormatPr defaultRowHeight="14.4" x14ac:dyDescent="0.3"/>
  <cols>
    <col min="1" max="1" width="13.77734375" customWidth="1"/>
    <col min="2" max="2" width="13" customWidth="1"/>
    <col min="3" max="3" width="13.88671875" customWidth="1"/>
    <col min="4" max="4" width="13.44140625" customWidth="1"/>
    <col min="5" max="5" width="14" customWidth="1"/>
    <col min="7" max="7" width="12.109375" customWidth="1"/>
    <col min="8" max="8" width="13.44140625" customWidth="1"/>
    <col min="9" max="9" width="18.5546875" customWidth="1"/>
    <col min="10" max="10" width="12.109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18</v>
      </c>
      <c r="C2">
        <v>100</v>
      </c>
      <c r="D2">
        <v>89</v>
      </c>
      <c r="E2">
        <v>0.5</v>
      </c>
      <c r="F2" t="s">
        <v>11</v>
      </c>
      <c r="G2" t="s">
        <v>12</v>
      </c>
      <c r="H2" t="s">
        <v>13</v>
      </c>
      <c r="I2" t="s">
        <v>14</v>
      </c>
      <c r="J2">
        <v>4</v>
      </c>
    </row>
    <row r="3" spans="1:10" x14ac:dyDescent="0.3">
      <c r="A3" t="s">
        <v>15</v>
      </c>
      <c r="B3">
        <v>19</v>
      </c>
      <c r="C3">
        <v>90</v>
      </c>
      <c r="D3">
        <v>95</v>
      </c>
      <c r="E3">
        <v>0.5</v>
      </c>
      <c r="F3" t="s">
        <v>11</v>
      </c>
      <c r="G3" t="s">
        <v>12</v>
      </c>
      <c r="H3" t="s">
        <v>13</v>
      </c>
      <c r="I3" t="s">
        <v>14</v>
      </c>
      <c r="J3">
        <v>5</v>
      </c>
    </row>
    <row r="4" spans="1:10" x14ac:dyDescent="0.3">
      <c r="A4" t="s">
        <v>16</v>
      </c>
      <c r="B4">
        <v>22</v>
      </c>
      <c r="C4">
        <v>90</v>
      </c>
      <c r="D4">
        <v>96</v>
      </c>
      <c r="E4">
        <v>0.5</v>
      </c>
      <c r="F4" t="s">
        <v>11</v>
      </c>
      <c r="G4" t="s">
        <v>12</v>
      </c>
      <c r="H4" t="s">
        <v>13</v>
      </c>
      <c r="I4" t="s">
        <v>14</v>
      </c>
      <c r="J4">
        <v>5</v>
      </c>
    </row>
    <row r="5" spans="1:10" x14ac:dyDescent="0.3">
      <c r="A5" t="s">
        <v>17</v>
      </c>
      <c r="B5">
        <v>18</v>
      </c>
      <c r="C5">
        <v>80</v>
      </c>
      <c r="D5">
        <v>73</v>
      </c>
      <c r="E5">
        <v>2</v>
      </c>
      <c r="F5" t="s">
        <v>18</v>
      </c>
      <c r="G5" t="s">
        <v>19</v>
      </c>
      <c r="H5" t="s">
        <v>20</v>
      </c>
      <c r="I5" t="s">
        <v>21</v>
      </c>
      <c r="J5">
        <v>2</v>
      </c>
    </row>
    <row r="6" spans="1:10" x14ac:dyDescent="0.3">
      <c r="A6" t="s">
        <v>22</v>
      </c>
      <c r="B6">
        <v>20</v>
      </c>
      <c r="C6">
        <v>100</v>
      </c>
      <c r="D6">
        <v>97</v>
      </c>
      <c r="E6">
        <v>0.5</v>
      </c>
      <c r="F6" t="s">
        <v>11</v>
      </c>
      <c r="G6" t="s">
        <v>12</v>
      </c>
      <c r="H6" t="s">
        <v>13</v>
      </c>
      <c r="I6" t="s">
        <v>14</v>
      </c>
      <c r="J6">
        <v>5</v>
      </c>
    </row>
    <row r="7" spans="1:10" x14ac:dyDescent="0.3">
      <c r="A7" t="s">
        <v>23</v>
      </c>
      <c r="B7">
        <v>20</v>
      </c>
      <c r="C7">
        <v>80</v>
      </c>
      <c r="D7">
        <v>79</v>
      </c>
      <c r="E7">
        <v>1</v>
      </c>
      <c r="F7" t="s">
        <v>18</v>
      </c>
      <c r="G7" t="s">
        <v>12</v>
      </c>
      <c r="H7" t="s">
        <v>20</v>
      </c>
      <c r="I7" t="s">
        <v>21</v>
      </c>
      <c r="J7">
        <v>2</v>
      </c>
    </row>
    <row r="8" spans="1:10" x14ac:dyDescent="0.3">
      <c r="A8" t="s">
        <v>24</v>
      </c>
      <c r="B8">
        <v>21</v>
      </c>
      <c r="C8">
        <v>75</v>
      </c>
      <c r="D8">
        <v>64</v>
      </c>
      <c r="E8">
        <v>2</v>
      </c>
      <c r="F8" t="s">
        <v>11</v>
      </c>
      <c r="G8" t="s">
        <v>19</v>
      </c>
      <c r="H8" t="s">
        <v>25</v>
      </c>
      <c r="I8" t="s">
        <v>26</v>
      </c>
      <c r="J8">
        <v>0</v>
      </c>
    </row>
    <row r="9" spans="1:10" x14ac:dyDescent="0.3">
      <c r="A9" t="s">
        <v>27</v>
      </c>
      <c r="B9">
        <v>21</v>
      </c>
      <c r="C9">
        <v>60</v>
      </c>
      <c r="D9">
        <v>56</v>
      </c>
      <c r="E9">
        <v>3</v>
      </c>
      <c r="F9" t="s">
        <v>18</v>
      </c>
      <c r="G9" t="s">
        <v>19</v>
      </c>
      <c r="H9" t="s">
        <v>25</v>
      </c>
      <c r="I9" t="s">
        <v>26</v>
      </c>
      <c r="J9">
        <v>0</v>
      </c>
    </row>
    <row r="10" spans="1:10" x14ac:dyDescent="0.3">
      <c r="A10" t="s">
        <v>28</v>
      </c>
      <c r="B10">
        <v>20</v>
      </c>
      <c r="C10">
        <v>50</v>
      </c>
      <c r="D10">
        <v>52</v>
      </c>
      <c r="E10">
        <v>3</v>
      </c>
      <c r="F10" t="s">
        <v>18</v>
      </c>
      <c r="G10" t="s">
        <v>19</v>
      </c>
      <c r="H10" t="s">
        <v>25</v>
      </c>
      <c r="I10" t="s">
        <v>26</v>
      </c>
      <c r="J10">
        <v>0</v>
      </c>
    </row>
    <row r="11" spans="1:10" x14ac:dyDescent="0.3">
      <c r="A11" t="s">
        <v>29</v>
      </c>
      <c r="C11">
        <v>50</v>
      </c>
      <c r="D11">
        <v>54</v>
      </c>
      <c r="E11">
        <v>3</v>
      </c>
      <c r="F11" t="s">
        <v>18</v>
      </c>
      <c r="G11" t="s">
        <v>19</v>
      </c>
      <c r="H11" t="s">
        <v>25</v>
      </c>
      <c r="I11" t="s">
        <v>26</v>
      </c>
      <c r="J11">
        <v>0</v>
      </c>
    </row>
    <row r="12" spans="1:10" x14ac:dyDescent="0.3">
      <c r="A12" t="s">
        <v>30</v>
      </c>
      <c r="B12">
        <v>17</v>
      </c>
      <c r="C12">
        <v>50</v>
      </c>
      <c r="D12">
        <v>55</v>
      </c>
      <c r="E12">
        <v>3</v>
      </c>
      <c r="F12" t="s">
        <v>18</v>
      </c>
      <c r="G12" t="s">
        <v>19</v>
      </c>
      <c r="H12" t="s">
        <v>25</v>
      </c>
      <c r="I12" t="s">
        <v>26</v>
      </c>
      <c r="J12">
        <v>0</v>
      </c>
    </row>
    <row r="13" spans="1:10" x14ac:dyDescent="0.3">
      <c r="A13" t="s">
        <v>31</v>
      </c>
      <c r="B13">
        <v>18</v>
      </c>
      <c r="C13">
        <v>100</v>
      </c>
      <c r="D13">
        <v>98</v>
      </c>
      <c r="E13">
        <v>0.2</v>
      </c>
      <c r="F13" t="s">
        <v>11</v>
      </c>
      <c r="G13" t="s">
        <v>12</v>
      </c>
      <c r="H13" t="s">
        <v>13</v>
      </c>
      <c r="I13" t="s">
        <v>14</v>
      </c>
      <c r="J13">
        <v>5</v>
      </c>
    </row>
    <row r="14" spans="1:10" x14ac:dyDescent="0.3">
      <c r="A14" t="s">
        <v>32</v>
      </c>
      <c r="B14">
        <v>20</v>
      </c>
      <c r="C14">
        <v>85</v>
      </c>
      <c r="D14">
        <v>95</v>
      </c>
      <c r="E14">
        <v>0.5</v>
      </c>
      <c r="F14" t="s">
        <v>11</v>
      </c>
      <c r="G14" t="s">
        <v>12</v>
      </c>
      <c r="H14" t="s">
        <v>13</v>
      </c>
      <c r="I14" t="s">
        <v>14</v>
      </c>
      <c r="J14">
        <v>5</v>
      </c>
    </row>
    <row r="15" spans="1:10" x14ac:dyDescent="0.3">
      <c r="A15" t="s">
        <v>33</v>
      </c>
      <c r="B15">
        <v>21</v>
      </c>
      <c r="C15">
        <v>74</v>
      </c>
      <c r="D15">
        <v>82</v>
      </c>
      <c r="E15">
        <v>1</v>
      </c>
      <c r="G15" t="s">
        <v>12</v>
      </c>
      <c r="H15" t="s">
        <v>13</v>
      </c>
      <c r="I15" t="s">
        <v>14</v>
      </c>
      <c r="J15">
        <v>3.5</v>
      </c>
    </row>
    <row r="16" spans="1:10" x14ac:dyDescent="0.3">
      <c r="A16" t="s">
        <v>34</v>
      </c>
      <c r="B16">
        <v>18</v>
      </c>
      <c r="C16">
        <v>86</v>
      </c>
      <c r="D16">
        <v>90</v>
      </c>
      <c r="E16">
        <v>0.8</v>
      </c>
      <c r="F16" t="s">
        <v>11</v>
      </c>
      <c r="G16" t="s">
        <v>12</v>
      </c>
      <c r="H16" t="s">
        <v>13</v>
      </c>
      <c r="I16" t="s">
        <v>14</v>
      </c>
      <c r="J16">
        <v>4</v>
      </c>
    </row>
    <row r="17" spans="1:10" x14ac:dyDescent="0.3">
      <c r="A17" t="s">
        <v>35</v>
      </c>
      <c r="B17">
        <v>19</v>
      </c>
      <c r="C17">
        <v>100</v>
      </c>
      <c r="D17">
        <v>60</v>
      </c>
      <c r="E17">
        <v>2.5</v>
      </c>
      <c r="F17" t="s">
        <v>18</v>
      </c>
      <c r="G17" t="s">
        <v>19</v>
      </c>
      <c r="H17" t="s">
        <v>25</v>
      </c>
      <c r="I17" t="s">
        <v>26</v>
      </c>
      <c r="J17">
        <v>0</v>
      </c>
    </row>
    <row r="18" spans="1:10" x14ac:dyDescent="0.3">
      <c r="A18" t="s">
        <v>36</v>
      </c>
      <c r="B18">
        <v>19</v>
      </c>
      <c r="C18">
        <v>96</v>
      </c>
      <c r="D18">
        <v>95</v>
      </c>
      <c r="E18">
        <v>0.5</v>
      </c>
      <c r="F18" t="s">
        <v>11</v>
      </c>
      <c r="G18" t="s">
        <v>12</v>
      </c>
      <c r="H18" t="s">
        <v>13</v>
      </c>
      <c r="I18" t="s">
        <v>14</v>
      </c>
      <c r="J18">
        <v>5</v>
      </c>
    </row>
    <row r="19" spans="1:10" x14ac:dyDescent="0.3">
      <c r="A19" t="s">
        <v>37</v>
      </c>
      <c r="B19">
        <v>20</v>
      </c>
      <c r="C19">
        <v>94</v>
      </c>
      <c r="D19">
        <v>93</v>
      </c>
      <c r="E19">
        <v>0.5</v>
      </c>
      <c r="F19" t="s">
        <v>11</v>
      </c>
      <c r="G19" t="s">
        <v>12</v>
      </c>
      <c r="H19" t="s">
        <v>13</v>
      </c>
      <c r="I19" t="s">
        <v>14</v>
      </c>
      <c r="J19">
        <v>4</v>
      </c>
    </row>
    <row r="20" spans="1:10" x14ac:dyDescent="0.3">
      <c r="A20" t="s">
        <v>38</v>
      </c>
      <c r="B20">
        <v>21</v>
      </c>
      <c r="C20">
        <v>66</v>
      </c>
      <c r="D20">
        <v>87</v>
      </c>
      <c r="E20">
        <v>1</v>
      </c>
      <c r="F20" t="s">
        <v>11</v>
      </c>
      <c r="G20" t="s">
        <v>12</v>
      </c>
      <c r="H20" t="s">
        <v>13</v>
      </c>
      <c r="I20" t="s">
        <v>14</v>
      </c>
      <c r="J20">
        <v>4</v>
      </c>
    </row>
    <row r="21" spans="1:10" x14ac:dyDescent="0.3">
      <c r="A21" t="s">
        <v>39</v>
      </c>
      <c r="B21">
        <v>21</v>
      </c>
      <c r="C21">
        <v>64</v>
      </c>
      <c r="D21">
        <v>75</v>
      </c>
      <c r="E21">
        <v>2</v>
      </c>
      <c r="F21" t="s">
        <v>18</v>
      </c>
      <c r="G21" t="s">
        <v>19</v>
      </c>
      <c r="H21" t="s">
        <v>20</v>
      </c>
      <c r="I21" t="s">
        <v>21</v>
      </c>
      <c r="J21">
        <v>2</v>
      </c>
    </row>
    <row r="22" spans="1:10" x14ac:dyDescent="0.3">
      <c r="A22" t="s">
        <v>40</v>
      </c>
      <c r="B22">
        <v>19</v>
      </c>
      <c r="C22">
        <v>52</v>
      </c>
      <c r="E22">
        <v>3.5</v>
      </c>
      <c r="F22" t="s">
        <v>18</v>
      </c>
      <c r="G22" t="s">
        <v>19</v>
      </c>
      <c r="H22" t="s">
        <v>25</v>
      </c>
      <c r="I22" t="s">
        <v>26</v>
      </c>
      <c r="J22">
        <v>0</v>
      </c>
    </row>
    <row r="23" spans="1:10" x14ac:dyDescent="0.3">
      <c r="A23" t="s">
        <v>41</v>
      </c>
      <c r="B23">
        <v>18</v>
      </c>
      <c r="C23">
        <v>18</v>
      </c>
      <c r="D23">
        <v>40</v>
      </c>
      <c r="E23">
        <v>2</v>
      </c>
      <c r="F23" t="s">
        <v>18</v>
      </c>
      <c r="G23" t="s">
        <v>19</v>
      </c>
      <c r="H23" t="s">
        <v>25</v>
      </c>
      <c r="I23" t="s">
        <v>26</v>
      </c>
      <c r="J23">
        <v>0</v>
      </c>
    </row>
    <row r="24" spans="1:10" x14ac:dyDescent="0.3">
      <c r="A24" t="s">
        <v>42</v>
      </c>
      <c r="B24">
        <v>19</v>
      </c>
      <c r="E24">
        <v>1</v>
      </c>
      <c r="F24" t="s">
        <v>18</v>
      </c>
      <c r="G24" t="s">
        <v>12</v>
      </c>
      <c r="H24" t="s">
        <v>25</v>
      </c>
      <c r="I24" t="s">
        <v>26</v>
      </c>
      <c r="J24">
        <v>0</v>
      </c>
    </row>
    <row r="25" spans="1:10" x14ac:dyDescent="0.3">
      <c r="A25" t="s">
        <v>43</v>
      </c>
      <c r="B25">
        <v>19</v>
      </c>
      <c r="C25">
        <v>73</v>
      </c>
      <c r="D25">
        <v>88</v>
      </c>
      <c r="E25">
        <v>3</v>
      </c>
      <c r="F25" t="s">
        <v>18</v>
      </c>
      <c r="G25" t="s">
        <v>19</v>
      </c>
      <c r="H25" t="s">
        <v>13</v>
      </c>
      <c r="I25" t="s">
        <v>14</v>
      </c>
      <c r="J25">
        <v>4</v>
      </c>
    </row>
    <row r="26" spans="1:10" x14ac:dyDescent="0.3">
      <c r="A26" t="s">
        <v>44</v>
      </c>
      <c r="B26">
        <v>20</v>
      </c>
      <c r="C26">
        <v>64</v>
      </c>
      <c r="D26">
        <v>52</v>
      </c>
      <c r="E26">
        <v>3</v>
      </c>
      <c r="F26" t="s">
        <v>11</v>
      </c>
      <c r="G26" t="s">
        <v>19</v>
      </c>
      <c r="H26" t="s">
        <v>25</v>
      </c>
      <c r="I26" t="s">
        <v>26</v>
      </c>
      <c r="J26">
        <v>0</v>
      </c>
    </row>
    <row r="27" spans="1:10" x14ac:dyDescent="0.3">
      <c r="A27" t="s">
        <v>45</v>
      </c>
      <c r="B27">
        <v>21</v>
      </c>
      <c r="C27">
        <v>58</v>
      </c>
      <c r="D27">
        <v>50</v>
      </c>
      <c r="E27">
        <v>0.2</v>
      </c>
      <c r="F27" t="s">
        <v>11</v>
      </c>
      <c r="G27" t="s">
        <v>12</v>
      </c>
      <c r="H27" t="s">
        <v>25</v>
      </c>
      <c r="I27" t="s">
        <v>26</v>
      </c>
      <c r="J27">
        <v>0</v>
      </c>
    </row>
    <row r="28" spans="1:10" x14ac:dyDescent="0.3">
      <c r="A28" t="s">
        <v>46</v>
      </c>
      <c r="B28">
        <v>22</v>
      </c>
      <c r="C28">
        <v>97</v>
      </c>
      <c r="D28">
        <v>97</v>
      </c>
      <c r="E28">
        <v>0.2</v>
      </c>
      <c r="F28" t="s">
        <v>11</v>
      </c>
      <c r="G28" t="s">
        <v>12</v>
      </c>
      <c r="H28" t="s">
        <v>13</v>
      </c>
      <c r="I28" t="s">
        <v>14</v>
      </c>
      <c r="J28">
        <v>5</v>
      </c>
    </row>
    <row r="29" spans="1:10" x14ac:dyDescent="0.3">
      <c r="A29" t="s">
        <v>47</v>
      </c>
      <c r="B29">
        <v>22</v>
      </c>
      <c r="C29">
        <v>98</v>
      </c>
      <c r="D29">
        <v>98</v>
      </c>
      <c r="E29">
        <v>0.2</v>
      </c>
      <c r="F29" t="s">
        <v>11</v>
      </c>
      <c r="G29" t="s">
        <v>12</v>
      </c>
      <c r="H29" t="s">
        <v>13</v>
      </c>
      <c r="I29" t="s">
        <v>14</v>
      </c>
      <c r="J29">
        <v>5</v>
      </c>
    </row>
    <row r="30" spans="1:10" x14ac:dyDescent="0.3">
      <c r="A30" t="s">
        <v>48</v>
      </c>
      <c r="B30">
        <v>21</v>
      </c>
      <c r="C30">
        <v>99</v>
      </c>
      <c r="D30">
        <v>99</v>
      </c>
      <c r="F30" t="s">
        <v>11</v>
      </c>
      <c r="G30" t="s">
        <v>19</v>
      </c>
      <c r="H30" t="s">
        <v>13</v>
      </c>
      <c r="I30" t="s">
        <v>14</v>
      </c>
      <c r="J30">
        <v>5</v>
      </c>
    </row>
    <row r="31" spans="1:10" x14ac:dyDescent="0.3">
      <c r="A31" t="s">
        <v>49</v>
      </c>
      <c r="B31">
        <v>19</v>
      </c>
      <c r="C31">
        <v>100</v>
      </c>
      <c r="D31">
        <v>100</v>
      </c>
      <c r="E31">
        <v>0</v>
      </c>
      <c r="F31" t="s">
        <v>11</v>
      </c>
      <c r="G31" t="s">
        <v>12</v>
      </c>
      <c r="H31" t="s">
        <v>13</v>
      </c>
      <c r="I31" t="s">
        <v>14</v>
      </c>
      <c r="J3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Pivot_Stress</vt:lpstr>
      <vt:lpstr>Pivot_Self Study</vt:lpstr>
      <vt:lpstr>Pivot_Attendance</vt:lpstr>
      <vt:lpstr>Pivot_Health</vt:lpstr>
      <vt:lpstr>Pivot_Tution</vt:lpstr>
      <vt:lpstr>Pivot_DailyWork</vt:lpstr>
      <vt:lpstr>DashBoard</vt:lpstr>
      <vt:lpstr>Cleaned_Data</vt:lpstr>
      <vt:lpstr>Analysis</vt:lpstr>
      <vt:lpstr>Raw_Data(Original)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Shrivathsa Prabhu</dc:creator>
  <cp:lastModifiedBy>Shrivathsa Prabhu</cp:lastModifiedBy>
  <dcterms:created xsi:type="dcterms:W3CDTF">2026-07-02T15:39:15Z</dcterms:created>
  <dcterms:modified xsi:type="dcterms:W3CDTF">2026-07-06T16:47:07Z</dcterms:modified>
</cp:coreProperties>
</file>